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Lane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MilestoneHistory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Outcomes" sheetId="6" state="visible" r:id="rId6"/>
    <sheet xmlns:r="http://schemas.openxmlformats.org/officeDocument/2006/relationships" name="Lists" sheetId="7" state="hidden" r:id="rId7"/>
    <sheet xmlns:r="http://schemas.openxmlformats.org/officeDocument/2006/relationships" name="Instructions" sheetId="8" state="visible" r:id="rId8"/>
  </sheets>
  <definedNames>
    <definedName name="Statuses">'Lists'!$A$2:$A$8</definedName>
    <definedName name="DependencyTypes">'Lists'!$B$2:$B$5</definedName>
    <definedName name="Impacts">'Lists'!$C$2:$C$4</definedName>
    <definedName name="TimeScales">'Lists'!$D$2:$D$6</definedName>
    <definedName name="Booleans">'Lists'!$E$2:$E$3</definedName>
    <definedName name="ShiftStates">'Lists'!$F$2:$F$5</definedName>
    <definedName name="ShiftThresholdDays">'Settings'!$B$6</definedName>
    <definedName name="LaneIds">'Lanes'!$A$2:$A$1001</definedName>
    <definedName name="_xlnm._FilterDatabase" localSheetId="0" hidden="1">'Settings'!$A$1:$C$1</definedName>
    <definedName name="_xlnm._FilterDatabase" localSheetId="1" hidden="1">'Lanes'!$A$1:$C$1</definedName>
    <definedName name="_xlnm._FilterDatabase" localSheetId="2" hidden="1">'Tasks'!$A$1:$M$1</definedName>
    <definedName name="_xlnm._FilterDatabase" localSheetId="3" hidden="1">'MilestoneHistory'!$A$1:$T$1001</definedName>
    <definedName name="_xlnm._FilterDatabase" localSheetId="4" hidden="1">'Dependencies'!$A$1:$F$1</definedName>
    <definedName name="_xlnm._FilterDatabase" localSheetId="5" hidden="1">'Outcomes'!$A$1:$D$1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SettingsTable" displayName="SettingsTable" ref="A1:C7" headerRowCount="1">
  <autoFilter ref="A1:C7"/>
  <tableColumns count="3">
    <tableColumn id="1" name="key"/>
    <tableColumn id="2" name="value"/>
    <tableColumn id="3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anesTable" displayName="LanesTable" ref="A1:C2" headerRowCount="1">
  <autoFilter ref="A1:C2"/>
  <tableColumns count="3">
    <tableColumn id="1" name="id"/>
    <tableColumn id="2" name="title"/>
    <tableColumn id="3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sksTable" displayName="TasksTable" ref="A1:M2" headerRowCount="1">
  <autoFilter ref="A1:M2"/>
  <tableColumns count="13">
    <tableColumn id="1" name="id"/>
    <tableColumn id="2" name="title"/>
    <tableColumn id="3" name="lane"/>
    <tableColumn id="4" name="start"/>
    <tableColumn id="5" name="end"/>
    <tableColumn id="6" name="start_order"/>
    <tableColumn id="7" name="end_order"/>
    <tableColumn id="8" name="status"/>
    <tableColumn id="9" name="owner"/>
    <tableColumn id="10" name="risk"/>
    <tableColumn id="11" name="milestones"/>
    <tableColumn id="12" name="outcomes"/>
    <tableColumn id="13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ilestoneHistoryTable" displayName="MilestoneHistoryTable" ref="A1:T1001" headerRowCount="1">
  <autoFilter ref="A1:T1001"/>
  <tableColumns count="20">
    <tableColumn id="1" name="milestone_id"/>
    <tableColumn id="2" name="milestone_title"/>
    <tableColumn id="3" name="lane"/>
    <tableColumn id="4" name="revision_id"/>
    <tableColumn id="5" name="revision_order"/>
    <tableColumn id="6" name="plan_version"/>
    <tableColumn id="7" name="planned_date"/>
    <tableColumn id="8" name="planned_order"/>
    <tableColumn id="9" name="recorded_at"/>
    <tableColumn id="10" name="is_current"/>
    <tableColumn id="11" name="reason"/>
    <tableColumn id="12" name="status"/>
    <tableColumn id="13" name="owner"/>
    <tableColumn id="14" name="risk"/>
    <tableColumn id="15" name="outcomes"/>
    <tableColumn id="16" name="notes"/>
    <tableColumn id="17" name="previous_planned_date"/>
    <tableColumn id="18" name="shift_days"/>
    <tableColumn id="19" name="cumulative_shift_days"/>
    <tableColumn id="20" name="shift_st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pendenciesTable" displayName="DependenciesTable" ref="A1:F2" headerRowCount="1">
  <autoFilter ref="A1:F2"/>
  <tableColumns count="6">
    <tableColumn id="1" name="id"/>
    <tableColumn id="2" name="from"/>
    <tableColumn id="3" name="to"/>
    <tableColumn id="4" name="type"/>
    <tableColumn id="5" name="impact"/>
    <tableColumn id="6" name="rationa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utcomesTable" displayName="OutcomesTable" ref="A1:D2" headerRowCount="1">
  <autoFilter ref="A1:D2"/>
  <tableColumns count="4">
    <tableColumn id="1" name="id"/>
    <tableColumn id="2" name="title"/>
    <tableColumn id="3" name="description"/>
    <tableColumn id="4" name="metr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schema_version</t>
        </is>
      </c>
      <c r="B2" s="2" t="n">
        <v>2</v>
      </c>
      <c r="C2" s="2" t="inlineStr">
        <is>
          <t>Do not change: canonical importer emits roadmap.v2.</t>
        </is>
      </c>
    </row>
    <row r="3">
      <c r="A3" s="2" t="inlineStr">
        <is>
          <t>title</t>
        </is>
      </c>
      <c r="B3" s="2" t="inlineStr">
        <is>
          <t>Payments roadmap</t>
        </is>
      </c>
      <c r="C3" s="2" t="inlineStr">
        <is>
          <t>Roadmap title.</t>
        </is>
      </c>
    </row>
    <row r="4">
      <c r="A4" s="2" t="inlineStr">
        <is>
          <t>time_scale</t>
        </is>
      </c>
      <c r="B4" s="2" t="inlineStr">
        <is>
          <t>month</t>
        </is>
      </c>
      <c r="C4" s="2" t="inlineStr">
        <is>
          <t>week | month | quarter | date | order</t>
        </is>
      </c>
    </row>
    <row r="5">
      <c r="A5" s="2" t="inlineStr">
        <is>
          <t>lane_dimension</t>
        </is>
      </c>
      <c r="B5" s="2" t="inlineStr">
        <is>
          <t>product</t>
        </is>
      </c>
      <c r="C5" s="2" t="inlineStr">
        <is>
          <t>Grouping dimension shown to readers.</t>
        </is>
      </c>
    </row>
    <row r="6">
      <c r="A6" s="2" t="inlineStr">
        <is>
          <t>shift_threshold_days</t>
        </is>
      </c>
      <c r="B6" s="2" t="n">
        <v>3</v>
      </c>
      <c r="C6" s="2" t="inlineStr">
        <is>
          <t>Absolute shift at or below this value is unchanged.</t>
        </is>
      </c>
    </row>
    <row r="7">
      <c r="A7" s="2" t="inlineStr">
        <is>
          <t>assumptions</t>
        </is>
      </c>
      <c r="B7" s="2" t="inlineStr"/>
      <c r="C7" s="2" t="inlineStr">
        <is>
          <t>Optional values separated by |.</t>
        </is>
      </c>
    </row>
  </sheetData>
  <autoFilter ref="A1:C1"/>
  <dataValidations count="1">
    <dataValidation sqref="B4" showDropDown="0" showInputMessage="0" showErrorMessage="0" allowBlank="1" errorTitle="Invalid roadmap value" error="Choose a value from the canonical list." promptTitle="Roadmap template" prompt="Select a canonical value." type="list">
      <formula1>=TimeScales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</row>
    <row r="2">
      <c r="A2" s="2" t="inlineStr">
        <is>
          <t>checkout</t>
        </is>
      </c>
      <c r="B2" s="2" t="inlineStr">
        <is>
          <t>Checkout</t>
        </is>
      </c>
      <c r="C2" s="2" t="inlineStr">
        <is>
          <t>Checkout workstream</t>
        </is>
      </c>
    </row>
  </sheetData>
  <autoFilter ref="A1:C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32" customWidth="1" min="10" max="10"/>
    <col width="28" customWidth="1" min="11" max="11"/>
    <col width="30" customWidth="1" min="12" max="12"/>
    <col width="40" customWidth="1" min="13" max="1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lane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start_order</t>
        </is>
      </c>
      <c r="G1" s="1" t="inlineStr">
        <is>
          <t>end_order</t>
        </is>
      </c>
      <c r="H1" s="1" t="inlineStr">
        <is>
          <t>status</t>
        </is>
      </c>
      <c r="I1" s="1" t="inlineStr">
        <is>
          <t>owner</t>
        </is>
      </c>
      <c r="J1" s="1" t="inlineStr">
        <is>
          <t>risk</t>
        </is>
      </c>
      <c r="K1" s="1" t="inlineStr">
        <is>
          <t>milestones</t>
        </is>
      </c>
      <c r="L1" s="1" t="inlineStr">
        <is>
          <t>outcomes</t>
        </is>
      </c>
      <c r="M1" s="1" t="inlineStr">
        <is>
          <t>notes</t>
        </is>
      </c>
    </row>
    <row r="2">
      <c r="A2" s="2" t="inlineStr">
        <is>
          <t>task-wallets</t>
        </is>
      </c>
      <c r="B2" s="2" t="inlineStr">
        <is>
          <t>Wallet support</t>
        </is>
      </c>
      <c r="C2" s="2" t="inlineStr">
        <is>
          <t>checkout</t>
        </is>
      </c>
      <c r="D2" s="3" t="n">
        <v>46204</v>
      </c>
      <c r="E2" s="3" t="n">
        <v>46302</v>
      </c>
      <c r="F2" s="2" t="inlineStr"/>
      <c r="G2" s="2" t="inlineStr"/>
      <c r="H2" s="2" t="inlineStr">
        <is>
          <t>at_risk</t>
        </is>
      </c>
      <c r="I2" s="2" t="inlineStr">
        <is>
          <t>Payments</t>
        </is>
      </c>
      <c r="J2" s="2" t="inlineStr">
        <is>
          <t>Risk of API delay</t>
        </is>
      </c>
      <c r="K2" s="2" t="inlineStr">
        <is>
          <t>m-wallet-pilot</t>
        </is>
      </c>
      <c r="L2" s="2" t="inlineStr">
        <is>
          <t>outcome-fast-payments</t>
        </is>
      </c>
      <c r="M2" s="2" t="inlineStr"/>
    </row>
  </sheetData>
  <autoFilter ref="A1:M1"/>
  <dataValidations count="2">
    <dataValidation sqref="C2:C1001" showDropDown="0" showInputMessage="0" showErrorMessage="0" allowBlank="1" errorTitle="Invalid roadmap value" error="Choose a value from the canonical list." promptTitle="Roadmap template" prompt="Select a canonical value." type="list">
      <formula1>=LaneIds</formula1>
    </dataValidation>
    <dataValidation sqref="H2:H1001" showDropDown="0" showInputMessage="0" showErrorMessage="0" allowBlank="1" errorTitle="Invalid roadmap value" error="Choose a value from the canonical list." promptTitle="Roadmap template" prompt="Select a canonical value." type="list">
      <formula1>=Statuses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18" customWidth="1" min="4" max="4"/>
    <col width="15" customWidth="1" min="5" max="5"/>
    <col width="18" customWidth="1" min="6" max="6"/>
    <col width="16" customWidth="1" min="7" max="7"/>
    <col width="16" customWidth="1" min="8" max="8"/>
    <col width="16" customWidth="1" min="9" max="9"/>
    <col width="14" customWidth="1" min="10" max="10"/>
    <col width="42" customWidth="1" min="11" max="11"/>
    <col width="18" customWidth="1" min="12" max="12"/>
    <col width="22" customWidth="1" min="13" max="13"/>
    <col width="28" customWidth="1" min="14" max="14"/>
    <col width="28" customWidth="1" min="15" max="15"/>
    <col width="36" customWidth="1" min="16" max="16"/>
    <col width="22" customWidth="1" min="17" max="17"/>
    <col width="14" customWidth="1" min="18" max="18"/>
    <col width="20" customWidth="1" min="19" max="19"/>
    <col width="18" customWidth="1" min="20" max="20"/>
  </cols>
  <sheetData>
    <row r="1">
      <c r="A1" s="1" t="inlineStr">
        <is>
          <t>milestone_id</t>
        </is>
      </c>
      <c r="B1" s="1" t="inlineStr">
        <is>
          <t>milestone_title</t>
        </is>
      </c>
      <c r="C1" s="1" t="inlineStr">
        <is>
          <t>lane</t>
        </is>
      </c>
      <c r="D1" s="1" t="inlineStr">
        <is>
          <t>revision_id</t>
        </is>
      </c>
      <c r="E1" s="1" t="inlineStr">
        <is>
          <t>revision_order</t>
        </is>
      </c>
      <c r="F1" s="1" t="inlineStr">
        <is>
          <t>plan_version</t>
        </is>
      </c>
      <c r="G1" s="1" t="inlineStr">
        <is>
          <t>planned_date</t>
        </is>
      </c>
      <c r="H1" s="1" t="inlineStr">
        <is>
          <t>planned_order</t>
        </is>
      </c>
      <c r="I1" s="1" t="inlineStr">
        <is>
          <t>recorded_at</t>
        </is>
      </c>
      <c r="J1" s="1" t="inlineStr">
        <is>
          <t>is_current</t>
        </is>
      </c>
      <c r="K1" s="1" t="inlineStr">
        <is>
          <t>reason</t>
        </is>
      </c>
      <c r="L1" s="1" t="inlineStr">
        <is>
          <t>status</t>
        </is>
      </c>
      <c r="M1" s="1" t="inlineStr">
        <is>
          <t>owner</t>
        </is>
      </c>
      <c r="N1" s="1" t="inlineStr">
        <is>
          <t>risk</t>
        </is>
      </c>
      <c r="O1" s="1" t="inlineStr">
        <is>
          <t>outcomes</t>
        </is>
      </c>
      <c r="P1" s="1" t="inlineStr">
        <is>
          <t>notes</t>
        </is>
      </c>
      <c r="Q1" s="1" t="inlineStr">
        <is>
          <t>previous_planned_date</t>
        </is>
      </c>
      <c r="R1" s="1" t="inlineStr">
        <is>
          <t>shift_days</t>
        </is>
      </c>
      <c r="S1" s="1" t="inlineStr">
        <is>
          <t>cumulative_shift_days</t>
        </is>
      </c>
      <c r="T1" s="1" t="inlineStr">
        <is>
          <t>shift_state</t>
        </is>
      </c>
    </row>
    <row r="2">
      <c r="A2" s="2" t="inlineStr">
        <is>
          <t>m-wallet-pilot</t>
        </is>
      </c>
      <c r="B2" s="2" t="inlineStr">
        <is>
          <t>Wallet pilot</t>
        </is>
      </c>
      <c r="C2" s="2" t="inlineStr">
        <is>
          <t>checkout</t>
        </is>
      </c>
      <c r="D2" s="2" t="inlineStr">
        <is>
          <t>rev-1</t>
        </is>
      </c>
      <c r="E2" s="2" t="n">
        <v>1</v>
      </c>
      <c r="F2" s="2" t="inlineStr">
        <is>
          <t>2026-05</t>
        </is>
      </c>
      <c r="G2" s="3" t="n">
        <v>46280</v>
      </c>
      <c r="H2" s="2" t="inlineStr"/>
      <c r="I2" s="3" t="n">
        <v>46152</v>
      </c>
      <c r="J2" s="2" t="b">
        <v>0</v>
      </c>
      <c r="K2" s="2" t="inlineStr">
        <is>
          <t>Initial plan</t>
        </is>
      </c>
      <c r="L2" s="2" t="inlineStr">
        <is>
          <t>planned</t>
        </is>
      </c>
      <c r="M2" s="2" t="inlineStr">
        <is>
          <t>Payments</t>
        </is>
      </c>
      <c r="N2" s="2" t="inlineStr"/>
      <c r="O2" s="2" t="inlineStr">
        <is>
          <t>outcome-fast-payments</t>
        </is>
      </c>
      <c r="P2" s="2" t="inlineStr"/>
      <c r="Q2" s="4">
        <f>IF(OR(A2="",E2=""),"",IF(MAXIFS($E$2:$E$1001,$A$2:$A$1001,A2,$E$2:$E$1001,"&lt;"&amp;E2)=0,"",SUMIFS($G$2:$G$1001,$A$2:$A$1001,A2,$E$2:$E$1001,MAXIFS($E$2:$E$1001,$A$2:$A$1001,A2,$E$2:$E$1001,"&lt;"&amp;E2))))</f>
        <v/>
      </c>
      <c r="R2" s="9">
        <f>IF(OR(Q2="",G2=""),"",G2-Q2)</f>
        <v/>
      </c>
      <c r="S2" s="9">
        <f>IF(R2="","",SUMIFS($R$2:$R$1001,$A$2:$A$1001,A2,$E$2:$E$1001,"&lt;="&amp;E2))</f>
        <v/>
      </c>
      <c r="T2" s="5">
        <f>IF(A2="","",IF(R2="","initial",IF(ABS(R2)&lt;=ShiftThresholdDays,"unchanged",IF(R2&gt;0,"delayed","accelerated"))))</f>
        <v/>
      </c>
    </row>
    <row r="3">
      <c r="A3" s="2" t="inlineStr">
        <is>
          <t>m-wallet-pilot</t>
        </is>
      </c>
      <c r="B3" s="2" t="inlineStr">
        <is>
          <t>Wallet pilot</t>
        </is>
      </c>
      <c r="C3" s="2" t="inlineStr">
        <is>
          <t>checkout</t>
        </is>
      </c>
      <c r="D3" s="2" t="inlineStr">
        <is>
          <t>rev-2</t>
        </is>
      </c>
      <c r="E3" s="2" t="n">
        <v>2</v>
      </c>
      <c r="F3" s="2" t="inlineStr">
        <is>
          <t>2026-06</t>
        </is>
      </c>
      <c r="G3" s="3" t="n">
        <v>46295</v>
      </c>
      <c r="H3" s="2" t="inlineStr"/>
      <c r="I3" s="3" t="n">
        <v>46185</v>
      </c>
      <c r="J3" s="2" t="b">
        <v>0</v>
      </c>
      <c r="K3" s="2" t="inlineStr">
        <is>
          <t>Billing API delay</t>
        </is>
      </c>
      <c r="L3" s="2" t="inlineStr">
        <is>
          <t>at_risk</t>
        </is>
      </c>
      <c r="M3" s="2" t="inlineStr">
        <is>
          <t>Payments</t>
        </is>
      </c>
      <c r="N3" s="2" t="inlineStr"/>
      <c r="O3" s="2" t="inlineStr">
        <is>
          <t>outcome-fast-payments</t>
        </is>
      </c>
      <c r="P3" s="2" t="inlineStr"/>
      <c r="Q3" s="4">
        <f>IF(OR(A3="",E3=""),"",IF(MAXIFS($E$2:$E$1001,$A$2:$A$1001,A3,$E$2:$E$1001,"&lt;"&amp;E3)=0,"",SUMIFS($G$2:$G$1001,$A$2:$A$1001,A3,$E$2:$E$1001,MAXIFS($E$2:$E$1001,$A$2:$A$1001,A3,$E$2:$E$1001,"&lt;"&amp;E3))))</f>
        <v/>
      </c>
      <c r="R3" s="9">
        <f>IF(OR(Q3="",G3=""),"",G3-Q3)</f>
        <v/>
      </c>
      <c r="S3" s="9">
        <f>IF(R3="","",SUMIFS($R$2:$R$1001,$A$2:$A$1001,A3,$E$2:$E$1001,"&lt;="&amp;E3))</f>
        <v/>
      </c>
      <c r="T3" s="5">
        <f>IF(A3="","",IF(R3="","initial",IF(ABS(R3)&lt;=ShiftThresholdDays,"unchanged",IF(R3&gt;0,"delayed","accelerated"))))</f>
        <v/>
      </c>
    </row>
    <row r="4">
      <c r="A4" s="2" t="inlineStr">
        <is>
          <t>m-wallet-pilot</t>
        </is>
      </c>
      <c r="B4" s="2" t="inlineStr">
        <is>
          <t>Wallet pilot</t>
        </is>
      </c>
      <c r="C4" s="2" t="inlineStr">
        <is>
          <t>checkout</t>
        </is>
      </c>
      <c r="D4" s="2" t="inlineStr">
        <is>
          <t>rev-3</t>
        </is>
      </c>
      <c r="E4" s="2" t="n">
        <v>3</v>
      </c>
      <c r="F4" s="2" t="inlineStr">
        <is>
          <t>2026-07</t>
        </is>
      </c>
      <c r="G4" s="3" t="n">
        <v>46309</v>
      </c>
      <c r="H4" s="2" t="inlineStr"/>
      <c r="I4" s="3" t="n">
        <v>46211</v>
      </c>
      <c r="J4" s="2" t="b">
        <v>0</v>
      </c>
      <c r="K4" s="2" t="inlineStr">
        <is>
          <t>Retesting</t>
        </is>
      </c>
      <c r="L4" s="2" t="inlineStr">
        <is>
          <t>blocked</t>
        </is>
      </c>
      <c r="M4" s="2" t="inlineStr">
        <is>
          <t>Payments</t>
        </is>
      </c>
      <c r="N4" s="2" t="inlineStr"/>
      <c r="O4" s="2" t="inlineStr">
        <is>
          <t>outcome-fast-payments</t>
        </is>
      </c>
      <c r="P4" s="2" t="inlineStr"/>
      <c r="Q4" s="4">
        <f>IF(OR(A4="",E4=""),"",IF(MAXIFS($E$2:$E$1001,$A$2:$A$1001,A4,$E$2:$E$1001,"&lt;"&amp;E4)=0,"",SUMIFS($G$2:$G$1001,$A$2:$A$1001,A4,$E$2:$E$1001,MAXIFS($E$2:$E$1001,$A$2:$A$1001,A4,$E$2:$E$1001,"&lt;"&amp;E4))))</f>
        <v/>
      </c>
      <c r="R4" s="9">
        <f>IF(OR(Q4="",G4=""),"",G4-Q4)</f>
        <v/>
      </c>
      <c r="S4" s="9">
        <f>IF(R4="","",SUMIFS($R$2:$R$1001,$A$2:$A$1001,A4,$E$2:$E$1001,"&lt;="&amp;E4))</f>
        <v/>
      </c>
      <c r="T4" s="5">
        <f>IF(A4="","",IF(R4="","initial",IF(ABS(R4)&lt;=ShiftThresholdDays,"unchanged",IF(R4&gt;0,"delayed","accelerated"))))</f>
        <v/>
      </c>
    </row>
    <row r="5">
      <c r="A5" s="2" t="inlineStr">
        <is>
          <t>m-wallet-pilot</t>
        </is>
      </c>
      <c r="B5" s="2" t="inlineStr">
        <is>
          <t>Wallet pilot</t>
        </is>
      </c>
      <c r="C5" s="2" t="inlineStr">
        <is>
          <t>checkout</t>
        </is>
      </c>
      <c r="D5" s="2" t="inlineStr">
        <is>
          <t>rev-4</t>
        </is>
      </c>
      <c r="E5" s="2" t="n">
        <v>4</v>
      </c>
      <c r="F5" s="2" t="inlineStr">
        <is>
          <t>2026-08</t>
        </is>
      </c>
      <c r="G5" s="3" t="n">
        <v>46302</v>
      </c>
      <c r="H5" s="2" t="inlineStr"/>
      <c r="I5" s="3" t="n">
        <v>46237</v>
      </c>
      <c r="J5" s="2" t="b">
        <v>1</v>
      </c>
      <c r="K5" s="2" t="inlineStr">
        <is>
          <t>Schedule optimized</t>
        </is>
      </c>
      <c r="L5" s="2" t="inlineStr">
        <is>
          <t>on_track</t>
        </is>
      </c>
      <c r="M5" s="2" t="inlineStr">
        <is>
          <t>Payments</t>
        </is>
      </c>
      <c r="N5" s="2" t="inlineStr"/>
      <c r="O5" s="2" t="inlineStr">
        <is>
          <t>outcome-fast-payments</t>
        </is>
      </c>
      <c r="P5" s="2" t="inlineStr"/>
      <c r="Q5" s="4">
        <f>IF(OR(A5="",E5=""),"",IF(MAXIFS($E$2:$E$1001,$A$2:$A$1001,A5,$E$2:$E$1001,"&lt;"&amp;E5)=0,"",SUMIFS($G$2:$G$1001,$A$2:$A$1001,A5,$E$2:$E$1001,MAXIFS($E$2:$E$1001,$A$2:$A$1001,A5,$E$2:$E$1001,"&lt;"&amp;E5))))</f>
        <v/>
      </c>
      <c r="R5" s="9">
        <f>IF(OR(Q5="",G5=""),"",G5-Q5)</f>
        <v/>
      </c>
      <c r="S5" s="9">
        <f>IF(R5="","",SUMIFS($R$2:$R$1001,$A$2:$A$1001,A5,$E$2:$E$1001,"&lt;="&amp;E5))</f>
        <v/>
      </c>
      <c r="T5" s="5">
        <f>IF(A5="","",IF(R5="","initial",IF(ABS(R5)&lt;=ShiftThresholdDays,"unchanged",IF(R5&gt;0,"delayed","accelerated"))))</f>
        <v/>
      </c>
    </row>
    <row r="6">
      <c r="A6" s="2" t="n"/>
      <c r="B6" s="2" t="n"/>
      <c r="C6" s="2" t="n"/>
      <c r="D6" s="2" t="n"/>
      <c r="E6" s="2" t="n"/>
      <c r="F6" s="2" t="n"/>
      <c r="G6" s="3" t="n"/>
      <c r="H6" s="2" t="n"/>
      <c r="I6" s="3" t="n"/>
      <c r="J6" s="2" t="n"/>
      <c r="K6" s="2" t="n"/>
      <c r="L6" s="2" t="n"/>
      <c r="M6" s="2" t="n"/>
      <c r="N6" s="2" t="n"/>
      <c r="O6" s="2" t="n"/>
      <c r="P6" s="2" t="n"/>
      <c r="Q6" s="4">
        <f>IF(OR(A6="",E6=""),"",IF(MAXIFS($E$2:$E$1001,$A$2:$A$1001,A6,$E$2:$E$1001,"&lt;"&amp;E6)=0,"",SUMIFS($G$2:$G$1001,$A$2:$A$1001,A6,$E$2:$E$1001,MAXIFS($E$2:$E$1001,$A$2:$A$1001,A6,$E$2:$E$1001,"&lt;"&amp;E6))))</f>
        <v/>
      </c>
      <c r="R6" s="9">
        <f>IF(OR(Q6="",G6=""),"",G6-Q6)</f>
        <v/>
      </c>
      <c r="S6" s="9">
        <f>IF(R6="","",SUMIFS($R$2:$R$1001,$A$2:$A$1001,A6,$E$2:$E$1001,"&lt;="&amp;E6))</f>
        <v/>
      </c>
      <c r="T6" s="5">
        <f>IF(A6="","",IF(R6="","initial",IF(ABS(R6)&lt;=ShiftThresholdDays,"unchanged",IF(R6&gt;0,"delayed","accelerated"))))</f>
        <v/>
      </c>
    </row>
    <row r="7">
      <c r="A7" s="2" t="n"/>
      <c r="B7" s="2" t="n"/>
      <c r="C7" s="2" t="n"/>
      <c r="D7" s="2" t="n"/>
      <c r="E7" s="2" t="n"/>
      <c r="F7" s="2" t="n"/>
      <c r="G7" s="3" t="n"/>
      <c r="H7" s="2" t="n"/>
      <c r="I7" s="3" t="n"/>
      <c r="J7" s="2" t="n"/>
      <c r="K7" s="2" t="n"/>
      <c r="L7" s="2" t="n"/>
      <c r="M7" s="2" t="n"/>
      <c r="N7" s="2" t="n"/>
      <c r="O7" s="2" t="n"/>
      <c r="P7" s="2" t="n"/>
      <c r="Q7" s="4">
        <f>IF(OR(A7="",E7=""),"",IF(MAXIFS($E$2:$E$1001,$A$2:$A$1001,A7,$E$2:$E$1001,"&lt;"&amp;E7)=0,"",SUMIFS($G$2:$G$1001,$A$2:$A$1001,A7,$E$2:$E$1001,MAXIFS($E$2:$E$1001,$A$2:$A$1001,A7,$E$2:$E$1001,"&lt;"&amp;E7))))</f>
        <v/>
      </c>
      <c r="R7" s="9">
        <f>IF(OR(Q7="",G7=""),"",G7-Q7)</f>
        <v/>
      </c>
      <c r="S7" s="9">
        <f>IF(R7="","",SUMIFS($R$2:$R$1001,$A$2:$A$1001,A7,$E$2:$E$1001,"&lt;="&amp;E7))</f>
        <v/>
      </c>
      <c r="T7" s="5">
        <f>IF(A7="","",IF(R7="","initial",IF(ABS(R7)&lt;=ShiftThresholdDays,"unchanged",IF(R7&gt;0,"delayed","accelerated"))))</f>
        <v/>
      </c>
    </row>
    <row r="8">
      <c r="A8" s="2" t="n"/>
      <c r="B8" s="2" t="n"/>
      <c r="C8" s="2" t="n"/>
      <c r="D8" s="2" t="n"/>
      <c r="E8" s="2" t="n"/>
      <c r="F8" s="2" t="n"/>
      <c r="G8" s="3" t="n"/>
      <c r="H8" s="2" t="n"/>
      <c r="I8" s="3" t="n"/>
      <c r="J8" s="2" t="n"/>
      <c r="K8" s="2" t="n"/>
      <c r="L8" s="2" t="n"/>
      <c r="M8" s="2" t="n"/>
      <c r="N8" s="2" t="n"/>
      <c r="O8" s="2" t="n"/>
      <c r="P8" s="2" t="n"/>
      <c r="Q8" s="4">
        <f>IF(OR(A8="",E8=""),"",IF(MAXIFS($E$2:$E$1001,$A$2:$A$1001,A8,$E$2:$E$1001,"&lt;"&amp;E8)=0,"",SUMIFS($G$2:$G$1001,$A$2:$A$1001,A8,$E$2:$E$1001,MAXIFS($E$2:$E$1001,$A$2:$A$1001,A8,$E$2:$E$1001,"&lt;"&amp;E8))))</f>
        <v/>
      </c>
      <c r="R8" s="9">
        <f>IF(OR(Q8="",G8=""),"",G8-Q8)</f>
        <v/>
      </c>
      <c r="S8" s="9">
        <f>IF(R8="","",SUMIFS($R$2:$R$1001,$A$2:$A$1001,A8,$E$2:$E$1001,"&lt;="&amp;E8))</f>
        <v/>
      </c>
      <c r="T8" s="5">
        <f>IF(A8="","",IF(R8="","initial",IF(ABS(R8)&lt;=ShiftThresholdDays,"unchanged",IF(R8&gt;0,"delayed","accelerated"))))</f>
        <v/>
      </c>
    </row>
    <row r="9">
      <c r="A9" s="2" t="n"/>
      <c r="B9" s="2" t="n"/>
      <c r="C9" s="2" t="n"/>
      <c r="D9" s="2" t="n"/>
      <c r="E9" s="2" t="n"/>
      <c r="F9" s="2" t="n"/>
      <c r="G9" s="3" t="n"/>
      <c r="H9" s="2" t="n"/>
      <c r="I9" s="3" t="n"/>
      <c r="J9" s="2" t="n"/>
      <c r="K9" s="2" t="n"/>
      <c r="L9" s="2" t="n"/>
      <c r="M9" s="2" t="n"/>
      <c r="N9" s="2" t="n"/>
      <c r="O9" s="2" t="n"/>
      <c r="P9" s="2" t="n"/>
      <c r="Q9" s="4">
        <f>IF(OR(A9="",E9=""),"",IF(MAXIFS($E$2:$E$1001,$A$2:$A$1001,A9,$E$2:$E$1001,"&lt;"&amp;E9)=0,"",SUMIFS($G$2:$G$1001,$A$2:$A$1001,A9,$E$2:$E$1001,MAXIFS($E$2:$E$1001,$A$2:$A$1001,A9,$E$2:$E$1001,"&lt;"&amp;E9))))</f>
        <v/>
      </c>
      <c r="R9" s="9">
        <f>IF(OR(Q9="",G9=""),"",G9-Q9)</f>
        <v/>
      </c>
      <c r="S9" s="9">
        <f>IF(R9="","",SUMIFS($R$2:$R$1001,$A$2:$A$1001,A9,$E$2:$E$1001,"&lt;="&amp;E9))</f>
        <v/>
      </c>
      <c r="T9" s="5">
        <f>IF(A9="","",IF(R9="","initial",IF(ABS(R9)&lt;=ShiftThresholdDays,"unchanged",IF(R9&gt;0,"delayed","accelerated"))))</f>
        <v/>
      </c>
    </row>
    <row r="10">
      <c r="A10" s="2" t="n"/>
      <c r="B10" s="2" t="n"/>
      <c r="C10" s="2" t="n"/>
      <c r="D10" s="2" t="n"/>
      <c r="E10" s="2" t="n"/>
      <c r="F10" s="2" t="n"/>
      <c r="G10" s="3" t="n"/>
      <c r="H10" s="2" t="n"/>
      <c r="I10" s="3" t="n"/>
      <c r="J10" s="2" t="n"/>
      <c r="K10" s="2" t="n"/>
      <c r="L10" s="2" t="n"/>
      <c r="M10" s="2" t="n"/>
      <c r="N10" s="2" t="n"/>
      <c r="O10" s="2" t="n"/>
      <c r="P10" s="2" t="n"/>
      <c r="Q10" s="4">
        <f>IF(OR(A10="",E10=""),"",IF(MAXIFS($E$2:$E$1001,$A$2:$A$1001,A10,$E$2:$E$1001,"&lt;"&amp;E10)=0,"",SUMIFS($G$2:$G$1001,$A$2:$A$1001,A10,$E$2:$E$1001,MAXIFS($E$2:$E$1001,$A$2:$A$1001,A10,$E$2:$E$1001,"&lt;"&amp;E10))))</f>
        <v/>
      </c>
      <c r="R10" s="9">
        <f>IF(OR(Q10="",G10=""),"",G10-Q10)</f>
        <v/>
      </c>
      <c r="S10" s="9">
        <f>IF(R10="","",SUMIFS($R$2:$R$1001,$A$2:$A$1001,A10,$E$2:$E$1001,"&lt;="&amp;E10))</f>
        <v/>
      </c>
      <c r="T10" s="5">
        <f>IF(A10="","",IF(R10="","initial",IF(ABS(R10)&lt;=ShiftThresholdDays,"unchanged",IF(R10&gt;0,"delayed","accelerated"))))</f>
        <v/>
      </c>
    </row>
    <row r="11">
      <c r="A11" s="2" t="n"/>
      <c r="B11" s="2" t="n"/>
      <c r="C11" s="2" t="n"/>
      <c r="D11" s="2" t="n"/>
      <c r="E11" s="2" t="n"/>
      <c r="F11" s="2" t="n"/>
      <c r="G11" s="3" t="n"/>
      <c r="H11" s="2" t="n"/>
      <c r="I11" s="3" t="n"/>
      <c r="J11" s="2" t="n"/>
      <c r="K11" s="2" t="n"/>
      <c r="L11" s="2" t="n"/>
      <c r="M11" s="2" t="n"/>
      <c r="N11" s="2" t="n"/>
      <c r="O11" s="2" t="n"/>
      <c r="P11" s="2" t="n"/>
      <c r="Q11" s="4">
        <f>IF(OR(A11="",E11=""),"",IF(MAXIFS($E$2:$E$1001,$A$2:$A$1001,A11,$E$2:$E$1001,"&lt;"&amp;E11)=0,"",SUMIFS($G$2:$G$1001,$A$2:$A$1001,A11,$E$2:$E$1001,MAXIFS($E$2:$E$1001,$A$2:$A$1001,A11,$E$2:$E$1001,"&lt;"&amp;E11))))</f>
        <v/>
      </c>
      <c r="R11" s="9">
        <f>IF(OR(Q11="",G11=""),"",G11-Q11)</f>
        <v/>
      </c>
      <c r="S11" s="9">
        <f>IF(R11="","",SUMIFS($R$2:$R$1001,$A$2:$A$1001,A11,$E$2:$E$1001,"&lt;="&amp;E11))</f>
        <v/>
      </c>
      <c r="T11" s="5">
        <f>IF(A11="","",IF(R11="","initial",IF(ABS(R11)&lt;=ShiftThresholdDays,"unchanged",IF(R11&gt;0,"delayed","accelerated"))))</f>
        <v/>
      </c>
    </row>
    <row r="12">
      <c r="A12" s="2" t="n"/>
      <c r="B12" s="2" t="n"/>
      <c r="C12" s="2" t="n"/>
      <c r="D12" s="2" t="n"/>
      <c r="E12" s="2" t="n"/>
      <c r="F12" s="2" t="n"/>
      <c r="G12" s="3" t="n"/>
      <c r="H12" s="2" t="n"/>
      <c r="I12" s="3" t="n"/>
      <c r="J12" s="2" t="n"/>
      <c r="K12" s="2" t="n"/>
      <c r="L12" s="2" t="n"/>
      <c r="M12" s="2" t="n"/>
      <c r="N12" s="2" t="n"/>
      <c r="O12" s="2" t="n"/>
      <c r="P12" s="2" t="n"/>
      <c r="Q12" s="4">
        <f>IF(OR(A12="",E12=""),"",IF(MAXIFS($E$2:$E$1001,$A$2:$A$1001,A12,$E$2:$E$1001,"&lt;"&amp;E12)=0,"",SUMIFS($G$2:$G$1001,$A$2:$A$1001,A12,$E$2:$E$1001,MAXIFS($E$2:$E$1001,$A$2:$A$1001,A12,$E$2:$E$1001,"&lt;"&amp;E12))))</f>
        <v/>
      </c>
      <c r="R12" s="9">
        <f>IF(OR(Q12="",G12=""),"",G12-Q12)</f>
        <v/>
      </c>
      <c r="S12" s="9">
        <f>IF(R12="","",SUMIFS($R$2:$R$1001,$A$2:$A$1001,A12,$E$2:$E$1001,"&lt;="&amp;E12))</f>
        <v/>
      </c>
      <c r="T12" s="5">
        <f>IF(A12="","",IF(R12="","initial",IF(ABS(R12)&lt;=ShiftThresholdDays,"unchanged",IF(R12&gt;0,"delayed","accelerated"))))</f>
        <v/>
      </c>
    </row>
    <row r="13">
      <c r="A13" s="2" t="n"/>
      <c r="B13" s="2" t="n"/>
      <c r="C13" s="2" t="n"/>
      <c r="D13" s="2" t="n"/>
      <c r="E13" s="2" t="n"/>
      <c r="F13" s="2" t="n"/>
      <c r="G13" s="3" t="n"/>
      <c r="H13" s="2" t="n"/>
      <c r="I13" s="3" t="n"/>
      <c r="J13" s="2" t="n"/>
      <c r="K13" s="2" t="n"/>
      <c r="L13" s="2" t="n"/>
      <c r="M13" s="2" t="n"/>
      <c r="N13" s="2" t="n"/>
      <c r="O13" s="2" t="n"/>
      <c r="P13" s="2" t="n"/>
      <c r="Q13" s="4">
        <f>IF(OR(A13="",E13=""),"",IF(MAXIFS($E$2:$E$1001,$A$2:$A$1001,A13,$E$2:$E$1001,"&lt;"&amp;E13)=0,"",SUMIFS($G$2:$G$1001,$A$2:$A$1001,A13,$E$2:$E$1001,MAXIFS($E$2:$E$1001,$A$2:$A$1001,A13,$E$2:$E$1001,"&lt;"&amp;E13))))</f>
        <v/>
      </c>
      <c r="R13" s="9">
        <f>IF(OR(Q13="",G13=""),"",G13-Q13)</f>
        <v/>
      </c>
      <c r="S13" s="9">
        <f>IF(R13="","",SUMIFS($R$2:$R$1001,$A$2:$A$1001,A13,$E$2:$E$1001,"&lt;="&amp;E13))</f>
        <v/>
      </c>
      <c r="T13" s="5">
        <f>IF(A13="","",IF(R13="","initial",IF(ABS(R13)&lt;=ShiftThresholdDays,"unchanged",IF(R13&gt;0,"delayed","accelerated"))))</f>
        <v/>
      </c>
    </row>
    <row r="14">
      <c r="A14" s="2" t="n"/>
      <c r="B14" s="2" t="n"/>
      <c r="C14" s="2" t="n"/>
      <c r="D14" s="2" t="n"/>
      <c r="E14" s="2" t="n"/>
      <c r="F14" s="2" t="n"/>
      <c r="G14" s="3" t="n"/>
      <c r="H14" s="2" t="n"/>
      <c r="I14" s="3" t="n"/>
      <c r="J14" s="2" t="n"/>
      <c r="K14" s="2" t="n"/>
      <c r="L14" s="2" t="n"/>
      <c r="M14" s="2" t="n"/>
      <c r="N14" s="2" t="n"/>
      <c r="O14" s="2" t="n"/>
      <c r="P14" s="2" t="n"/>
      <c r="Q14" s="4">
        <f>IF(OR(A14="",E14=""),"",IF(MAXIFS($E$2:$E$1001,$A$2:$A$1001,A14,$E$2:$E$1001,"&lt;"&amp;E14)=0,"",SUMIFS($G$2:$G$1001,$A$2:$A$1001,A14,$E$2:$E$1001,MAXIFS($E$2:$E$1001,$A$2:$A$1001,A14,$E$2:$E$1001,"&lt;"&amp;E14))))</f>
        <v/>
      </c>
      <c r="R14" s="9">
        <f>IF(OR(Q14="",G14=""),"",G14-Q14)</f>
        <v/>
      </c>
      <c r="S14" s="9">
        <f>IF(R14="","",SUMIFS($R$2:$R$1001,$A$2:$A$1001,A14,$E$2:$E$1001,"&lt;="&amp;E14))</f>
        <v/>
      </c>
      <c r="T14" s="5">
        <f>IF(A14="","",IF(R14="","initial",IF(ABS(R14)&lt;=ShiftThresholdDays,"unchanged",IF(R14&gt;0,"delayed","accelerated"))))</f>
        <v/>
      </c>
    </row>
    <row r="15">
      <c r="A15" s="2" t="n"/>
      <c r="B15" s="2" t="n"/>
      <c r="C15" s="2" t="n"/>
      <c r="D15" s="2" t="n"/>
      <c r="E15" s="2" t="n"/>
      <c r="F15" s="2" t="n"/>
      <c r="G15" s="3" t="n"/>
      <c r="H15" s="2" t="n"/>
      <c r="I15" s="3" t="n"/>
      <c r="J15" s="2" t="n"/>
      <c r="K15" s="2" t="n"/>
      <c r="L15" s="2" t="n"/>
      <c r="M15" s="2" t="n"/>
      <c r="N15" s="2" t="n"/>
      <c r="O15" s="2" t="n"/>
      <c r="P15" s="2" t="n"/>
      <c r="Q15" s="4">
        <f>IF(OR(A15="",E15=""),"",IF(MAXIFS($E$2:$E$1001,$A$2:$A$1001,A15,$E$2:$E$1001,"&lt;"&amp;E15)=0,"",SUMIFS($G$2:$G$1001,$A$2:$A$1001,A15,$E$2:$E$1001,MAXIFS($E$2:$E$1001,$A$2:$A$1001,A15,$E$2:$E$1001,"&lt;"&amp;E15))))</f>
        <v/>
      </c>
      <c r="R15" s="9">
        <f>IF(OR(Q15="",G15=""),"",G15-Q15)</f>
        <v/>
      </c>
      <c r="S15" s="9">
        <f>IF(R15="","",SUMIFS($R$2:$R$1001,$A$2:$A$1001,A15,$E$2:$E$1001,"&lt;="&amp;E15))</f>
        <v/>
      </c>
      <c r="T15" s="5">
        <f>IF(A15="","",IF(R15="","initial",IF(ABS(R15)&lt;=ShiftThresholdDays,"unchanged",IF(R15&gt;0,"delayed","accelerated"))))</f>
        <v/>
      </c>
    </row>
    <row r="16">
      <c r="A16" s="2" t="n"/>
      <c r="B16" s="2" t="n"/>
      <c r="C16" s="2" t="n"/>
      <c r="D16" s="2" t="n"/>
      <c r="E16" s="2" t="n"/>
      <c r="F16" s="2" t="n"/>
      <c r="G16" s="3" t="n"/>
      <c r="H16" s="2" t="n"/>
      <c r="I16" s="3" t="n"/>
      <c r="J16" s="2" t="n"/>
      <c r="K16" s="2" t="n"/>
      <c r="L16" s="2" t="n"/>
      <c r="M16" s="2" t="n"/>
      <c r="N16" s="2" t="n"/>
      <c r="O16" s="2" t="n"/>
      <c r="P16" s="2" t="n"/>
      <c r="Q16" s="4">
        <f>IF(OR(A16="",E16=""),"",IF(MAXIFS($E$2:$E$1001,$A$2:$A$1001,A16,$E$2:$E$1001,"&lt;"&amp;E16)=0,"",SUMIFS($G$2:$G$1001,$A$2:$A$1001,A16,$E$2:$E$1001,MAXIFS($E$2:$E$1001,$A$2:$A$1001,A16,$E$2:$E$1001,"&lt;"&amp;E16))))</f>
        <v/>
      </c>
      <c r="R16" s="9">
        <f>IF(OR(Q16="",G16=""),"",G16-Q16)</f>
        <v/>
      </c>
      <c r="S16" s="9">
        <f>IF(R16="","",SUMIFS($R$2:$R$1001,$A$2:$A$1001,A16,$E$2:$E$1001,"&lt;="&amp;E16))</f>
        <v/>
      </c>
      <c r="T16" s="5">
        <f>IF(A16="","",IF(R16="","initial",IF(ABS(R16)&lt;=ShiftThresholdDays,"unchanged",IF(R16&gt;0,"delayed","accelerated"))))</f>
        <v/>
      </c>
    </row>
    <row r="17">
      <c r="A17" s="2" t="n"/>
      <c r="B17" s="2" t="n"/>
      <c r="C17" s="2" t="n"/>
      <c r="D17" s="2" t="n"/>
      <c r="E17" s="2" t="n"/>
      <c r="F17" s="2" t="n"/>
      <c r="G17" s="3" t="n"/>
      <c r="H17" s="2" t="n"/>
      <c r="I17" s="3" t="n"/>
      <c r="J17" s="2" t="n"/>
      <c r="K17" s="2" t="n"/>
      <c r="L17" s="2" t="n"/>
      <c r="M17" s="2" t="n"/>
      <c r="N17" s="2" t="n"/>
      <c r="O17" s="2" t="n"/>
      <c r="P17" s="2" t="n"/>
      <c r="Q17" s="4">
        <f>IF(OR(A17="",E17=""),"",IF(MAXIFS($E$2:$E$1001,$A$2:$A$1001,A17,$E$2:$E$1001,"&lt;"&amp;E17)=0,"",SUMIFS($G$2:$G$1001,$A$2:$A$1001,A17,$E$2:$E$1001,MAXIFS($E$2:$E$1001,$A$2:$A$1001,A17,$E$2:$E$1001,"&lt;"&amp;E17))))</f>
        <v/>
      </c>
      <c r="R17" s="9">
        <f>IF(OR(Q17="",G17=""),"",G17-Q17)</f>
        <v/>
      </c>
      <c r="S17" s="9">
        <f>IF(R17="","",SUMIFS($R$2:$R$1001,$A$2:$A$1001,A17,$E$2:$E$1001,"&lt;="&amp;E17))</f>
        <v/>
      </c>
      <c r="T17" s="5">
        <f>IF(A17="","",IF(R17="","initial",IF(ABS(R17)&lt;=ShiftThresholdDays,"unchanged",IF(R17&gt;0,"delayed","accelerated"))))</f>
        <v/>
      </c>
    </row>
    <row r="18">
      <c r="A18" s="2" t="n"/>
      <c r="B18" s="2" t="n"/>
      <c r="C18" s="2" t="n"/>
      <c r="D18" s="2" t="n"/>
      <c r="E18" s="2" t="n"/>
      <c r="F18" s="2" t="n"/>
      <c r="G18" s="3" t="n"/>
      <c r="H18" s="2" t="n"/>
      <c r="I18" s="3" t="n"/>
      <c r="J18" s="2" t="n"/>
      <c r="K18" s="2" t="n"/>
      <c r="L18" s="2" t="n"/>
      <c r="M18" s="2" t="n"/>
      <c r="N18" s="2" t="n"/>
      <c r="O18" s="2" t="n"/>
      <c r="P18" s="2" t="n"/>
      <c r="Q18" s="4">
        <f>IF(OR(A18="",E18=""),"",IF(MAXIFS($E$2:$E$1001,$A$2:$A$1001,A18,$E$2:$E$1001,"&lt;"&amp;E18)=0,"",SUMIFS($G$2:$G$1001,$A$2:$A$1001,A18,$E$2:$E$1001,MAXIFS($E$2:$E$1001,$A$2:$A$1001,A18,$E$2:$E$1001,"&lt;"&amp;E18))))</f>
        <v/>
      </c>
      <c r="R18" s="9">
        <f>IF(OR(Q18="",G18=""),"",G18-Q18)</f>
        <v/>
      </c>
      <c r="S18" s="9">
        <f>IF(R18="","",SUMIFS($R$2:$R$1001,$A$2:$A$1001,A18,$E$2:$E$1001,"&lt;="&amp;E18))</f>
        <v/>
      </c>
      <c r="T18" s="5">
        <f>IF(A18="","",IF(R18="","initial",IF(ABS(R18)&lt;=ShiftThresholdDays,"unchanged",IF(R18&gt;0,"delayed","accelerated"))))</f>
        <v/>
      </c>
    </row>
    <row r="19">
      <c r="A19" s="2" t="n"/>
      <c r="B19" s="2" t="n"/>
      <c r="C19" s="2" t="n"/>
      <c r="D19" s="2" t="n"/>
      <c r="E19" s="2" t="n"/>
      <c r="F19" s="2" t="n"/>
      <c r="G19" s="3" t="n"/>
      <c r="H19" s="2" t="n"/>
      <c r="I19" s="3" t="n"/>
      <c r="J19" s="2" t="n"/>
      <c r="K19" s="2" t="n"/>
      <c r="L19" s="2" t="n"/>
      <c r="M19" s="2" t="n"/>
      <c r="N19" s="2" t="n"/>
      <c r="O19" s="2" t="n"/>
      <c r="P19" s="2" t="n"/>
      <c r="Q19" s="4">
        <f>IF(OR(A19="",E19=""),"",IF(MAXIFS($E$2:$E$1001,$A$2:$A$1001,A19,$E$2:$E$1001,"&lt;"&amp;E19)=0,"",SUMIFS($G$2:$G$1001,$A$2:$A$1001,A19,$E$2:$E$1001,MAXIFS($E$2:$E$1001,$A$2:$A$1001,A19,$E$2:$E$1001,"&lt;"&amp;E19))))</f>
        <v/>
      </c>
      <c r="R19" s="9">
        <f>IF(OR(Q19="",G19=""),"",G19-Q19)</f>
        <v/>
      </c>
      <c r="S19" s="9">
        <f>IF(R19="","",SUMIFS($R$2:$R$1001,$A$2:$A$1001,A19,$E$2:$E$1001,"&lt;="&amp;E19))</f>
        <v/>
      </c>
      <c r="T19" s="5">
        <f>IF(A19="","",IF(R19="","initial",IF(ABS(R19)&lt;=ShiftThresholdDays,"unchanged",IF(R19&gt;0,"delayed","accelerated"))))</f>
        <v/>
      </c>
    </row>
    <row r="20">
      <c r="A20" s="2" t="n"/>
      <c r="B20" s="2" t="n"/>
      <c r="C20" s="2" t="n"/>
      <c r="D20" s="2" t="n"/>
      <c r="E20" s="2" t="n"/>
      <c r="F20" s="2" t="n"/>
      <c r="G20" s="3" t="n"/>
      <c r="H20" s="2" t="n"/>
      <c r="I20" s="3" t="n"/>
      <c r="J20" s="2" t="n"/>
      <c r="K20" s="2" t="n"/>
      <c r="L20" s="2" t="n"/>
      <c r="M20" s="2" t="n"/>
      <c r="N20" s="2" t="n"/>
      <c r="O20" s="2" t="n"/>
      <c r="P20" s="2" t="n"/>
      <c r="Q20" s="4">
        <f>IF(OR(A20="",E20=""),"",IF(MAXIFS($E$2:$E$1001,$A$2:$A$1001,A20,$E$2:$E$1001,"&lt;"&amp;E20)=0,"",SUMIFS($G$2:$G$1001,$A$2:$A$1001,A20,$E$2:$E$1001,MAXIFS($E$2:$E$1001,$A$2:$A$1001,A20,$E$2:$E$1001,"&lt;"&amp;E20))))</f>
        <v/>
      </c>
      <c r="R20" s="9">
        <f>IF(OR(Q20="",G20=""),"",G20-Q20)</f>
        <v/>
      </c>
      <c r="S20" s="9">
        <f>IF(R20="","",SUMIFS($R$2:$R$1001,$A$2:$A$1001,A20,$E$2:$E$1001,"&lt;="&amp;E20))</f>
        <v/>
      </c>
      <c r="T20" s="5">
        <f>IF(A20="","",IF(R20="","initial",IF(ABS(R20)&lt;=ShiftThresholdDays,"unchanged",IF(R20&gt;0,"delayed","accelerated"))))</f>
        <v/>
      </c>
    </row>
    <row r="21">
      <c r="A21" s="2" t="n"/>
      <c r="B21" s="2" t="n"/>
      <c r="C21" s="2" t="n"/>
      <c r="D21" s="2" t="n"/>
      <c r="E21" s="2" t="n"/>
      <c r="F21" s="2" t="n"/>
      <c r="G21" s="3" t="n"/>
      <c r="H21" s="2" t="n"/>
      <c r="I21" s="3" t="n"/>
      <c r="J21" s="2" t="n"/>
      <c r="K21" s="2" t="n"/>
      <c r="L21" s="2" t="n"/>
      <c r="M21" s="2" t="n"/>
      <c r="N21" s="2" t="n"/>
      <c r="O21" s="2" t="n"/>
      <c r="P21" s="2" t="n"/>
      <c r="Q21" s="4">
        <f>IF(OR(A21="",E21=""),"",IF(MAXIFS($E$2:$E$1001,$A$2:$A$1001,A21,$E$2:$E$1001,"&lt;"&amp;E21)=0,"",SUMIFS($G$2:$G$1001,$A$2:$A$1001,A21,$E$2:$E$1001,MAXIFS($E$2:$E$1001,$A$2:$A$1001,A21,$E$2:$E$1001,"&lt;"&amp;E21))))</f>
        <v/>
      </c>
      <c r="R21" s="9">
        <f>IF(OR(Q21="",G21=""),"",G21-Q21)</f>
        <v/>
      </c>
      <c r="S21" s="9">
        <f>IF(R21="","",SUMIFS($R$2:$R$1001,$A$2:$A$1001,A21,$E$2:$E$1001,"&lt;="&amp;E21))</f>
        <v/>
      </c>
      <c r="T21" s="5">
        <f>IF(A21="","",IF(R21="","initial",IF(ABS(R21)&lt;=ShiftThresholdDays,"unchanged",IF(R21&gt;0,"delayed","accelerated"))))</f>
        <v/>
      </c>
    </row>
    <row r="22">
      <c r="A22" s="2" t="n"/>
      <c r="B22" s="2" t="n"/>
      <c r="C22" s="2" t="n"/>
      <c r="D22" s="2" t="n"/>
      <c r="E22" s="2" t="n"/>
      <c r="F22" s="2" t="n"/>
      <c r="G22" s="3" t="n"/>
      <c r="H22" s="2" t="n"/>
      <c r="I22" s="3" t="n"/>
      <c r="J22" s="2" t="n"/>
      <c r="K22" s="2" t="n"/>
      <c r="L22" s="2" t="n"/>
      <c r="M22" s="2" t="n"/>
      <c r="N22" s="2" t="n"/>
      <c r="O22" s="2" t="n"/>
      <c r="P22" s="2" t="n"/>
      <c r="Q22" s="4">
        <f>IF(OR(A22="",E22=""),"",IF(MAXIFS($E$2:$E$1001,$A$2:$A$1001,A22,$E$2:$E$1001,"&lt;"&amp;E22)=0,"",SUMIFS($G$2:$G$1001,$A$2:$A$1001,A22,$E$2:$E$1001,MAXIFS($E$2:$E$1001,$A$2:$A$1001,A22,$E$2:$E$1001,"&lt;"&amp;E22))))</f>
        <v/>
      </c>
      <c r="R22" s="9">
        <f>IF(OR(Q22="",G22=""),"",G22-Q22)</f>
        <v/>
      </c>
      <c r="S22" s="9">
        <f>IF(R22="","",SUMIFS($R$2:$R$1001,$A$2:$A$1001,A22,$E$2:$E$1001,"&lt;="&amp;E22))</f>
        <v/>
      </c>
      <c r="T22" s="5">
        <f>IF(A22="","",IF(R22="","initial",IF(ABS(R22)&lt;=ShiftThresholdDays,"unchanged",IF(R22&gt;0,"delayed","accelerated"))))</f>
        <v/>
      </c>
    </row>
    <row r="23">
      <c r="A23" s="2" t="n"/>
      <c r="B23" s="2" t="n"/>
      <c r="C23" s="2" t="n"/>
      <c r="D23" s="2" t="n"/>
      <c r="E23" s="2" t="n"/>
      <c r="F23" s="2" t="n"/>
      <c r="G23" s="3" t="n"/>
      <c r="H23" s="2" t="n"/>
      <c r="I23" s="3" t="n"/>
      <c r="J23" s="2" t="n"/>
      <c r="K23" s="2" t="n"/>
      <c r="L23" s="2" t="n"/>
      <c r="M23" s="2" t="n"/>
      <c r="N23" s="2" t="n"/>
      <c r="O23" s="2" t="n"/>
      <c r="P23" s="2" t="n"/>
      <c r="Q23" s="4">
        <f>IF(OR(A23="",E23=""),"",IF(MAXIFS($E$2:$E$1001,$A$2:$A$1001,A23,$E$2:$E$1001,"&lt;"&amp;E23)=0,"",SUMIFS($G$2:$G$1001,$A$2:$A$1001,A23,$E$2:$E$1001,MAXIFS($E$2:$E$1001,$A$2:$A$1001,A23,$E$2:$E$1001,"&lt;"&amp;E23))))</f>
        <v/>
      </c>
      <c r="R23" s="9">
        <f>IF(OR(Q23="",G23=""),"",G23-Q23)</f>
        <v/>
      </c>
      <c r="S23" s="9">
        <f>IF(R23="","",SUMIFS($R$2:$R$1001,$A$2:$A$1001,A23,$E$2:$E$1001,"&lt;="&amp;E23))</f>
        <v/>
      </c>
      <c r="T23" s="5">
        <f>IF(A23="","",IF(R23="","initial",IF(ABS(R23)&lt;=ShiftThresholdDays,"unchanged",IF(R23&gt;0,"delayed","accelerated"))))</f>
        <v/>
      </c>
    </row>
    <row r="24">
      <c r="A24" s="2" t="n"/>
      <c r="B24" s="2" t="n"/>
      <c r="C24" s="2" t="n"/>
      <c r="D24" s="2" t="n"/>
      <c r="E24" s="2" t="n"/>
      <c r="F24" s="2" t="n"/>
      <c r="G24" s="3" t="n"/>
      <c r="H24" s="2" t="n"/>
      <c r="I24" s="3" t="n"/>
      <c r="J24" s="2" t="n"/>
      <c r="K24" s="2" t="n"/>
      <c r="L24" s="2" t="n"/>
      <c r="M24" s="2" t="n"/>
      <c r="N24" s="2" t="n"/>
      <c r="O24" s="2" t="n"/>
      <c r="P24" s="2" t="n"/>
      <c r="Q24" s="4">
        <f>IF(OR(A24="",E24=""),"",IF(MAXIFS($E$2:$E$1001,$A$2:$A$1001,A24,$E$2:$E$1001,"&lt;"&amp;E24)=0,"",SUMIFS($G$2:$G$1001,$A$2:$A$1001,A24,$E$2:$E$1001,MAXIFS($E$2:$E$1001,$A$2:$A$1001,A24,$E$2:$E$1001,"&lt;"&amp;E24))))</f>
        <v/>
      </c>
      <c r="R24" s="9">
        <f>IF(OR(Q24="",G24=""),"",G24-Q24)</f>
        <v/>
      </c>
      <c r="S24" s="9">
        <f>IF(R24="","",SUMIFS($R$2:$R$1001,$A$2:$A$1001,A24,$E$2:$E$1001,"&lt;="&amp;E24))</f>
        <v/>
      </c>
      <c r="T24" s="5">
        <f>IF(A24="","",IF(R24="","initial",IF(ABS(R24)&lt;=ShiftThresholdDays,"unchanged",IF(R24&gt;0,"delayed","accelerated"))))</f>
        <v/>
      </c>
    </row>
    <row r="25">
      <c r="A25" s="2" t="n"/>
      <c r="B25" s="2" t="n"/>
      <c r="C25" s="2" t="n"/>
      <c r="D25" s="2" t="n"/>
      <c r="E25" s="2" t="n"/>
      <c r="F25" s="2" t="n"/>
      <c r="G25" s="3" t="n"/>
      <c r="H25" s="2" t="n"/>
      <c r="I25" s="3" t="n"/>
      <c r="J25" s="2" t="n"/>
      <c r="K25" s="2" t="n"/>
      <c r="L25" s="2" t="n"/>
      <c r="M25" s="2" t="n"/>
      <c r="N25" s="2" t="n"/>
      <c r="O25" s="2" t="n"/>
      <c r="P25" s="2" t="n"/>
      <c r="Q25" s="4">
        <f>IF(OR(A25="",E25=""),"",IF(MAXIFS($E$2:$E$1001,$A$2:$A$1001,A25,$E$2:$E$1001,"&lt;"&amp;E25)=0,"",SUMIFS($G$2:$G$1001,$A$2:$A$1001,A25,$E$2:$E$1001,MAXIFS($E$2:$E$1001,$A$2:$A$1001,A25,$E$2:$E$1001,"&lt;"&amp;E25))))</f>
        <v/>
      </c>
      <c r="R25" s="9">
        <f>IF(OR(Q25="",G25=""),"",G25-Q25)</f>
        <v/>
      </c>
      <c r="S25" s="9">
        <f>IF(R25="","",SUMIFS($R$2:$R$1001,$A$2:$A$1001,A25,$E$2:$E$1001,"&lt;="&amp;E25))</f>
        <v/>
      </c>
      <c r="T25" s="5">
        <f>IF(A25="","",IF(R25="","initial",IF(ABS(R25)&lt;=ShiftThresholdDays,"unchanged",IF(R25&gt;0,"delayed","accelerated"))))</f>
        <v/>
      </c>
    </row>
    <row r="26">
      <c r="A26" s="2" t="n"/>
      <c r="B26" s="2" t="n"/>
      <c r="C26" s="2" t="n"/>
      <c r="D26" s="2" t="n"/>
      <c r="E26" s="2" t="n"/>
      <c r="F26" s="2" t="n"/>
      <c r="G26" s="3" t="n"/>
      <c r="H26" s="2" t="n"/>
      <c r="I26" s="3" t="n"/>
      <c r="J26" s="2" t="n"/>
      <c r="K26" s="2" t="n"/>
      <c r="L26" s="2" t="n"/>
      <c r="M26" s="2" t="n"/>
      <c r="N26" s="2" t="n"/>
      <c r="O26" s="2" t="n"/>
      <c r="P26" s="2" t="n"/>
      <c r="Q26" s="4">
        <f>IF(OR(A26="",E26=""),"",IF(MAXIFS($E$2:$E$1001,$A$2:$A$1001,A26,$E$2:$E$1001,"&lt;"&amp;E26)=0,"",SUMIFS($G$2:$G$1001,$A$2:$A$1001,A26,$E$2:$E$1001,MAXIFS($E$2:$E$1001,$A$2:$A$1001,A26,$E$2:$E$1001,"&lt;"&amp;E26))))</f>
        <v/>
      </c>
      <c r="R26" s="9">
        <f>IF(OR(Q26="",G26=""),"",G26-Q26)</f>
        <v/>
      </c>
      <c r="S26" s="9">
        <f>IF(R26="","",SUMIFS($R$2:$R$1001,$A$2:$A$1001,A26,$E$2:$E$1001,"&lt;="&amp;E26))</f>
        <v/>
      </c>
      <c r="T26" s="5">
        <f>IF(A26="","",IF(R26="","initial",IF(ABS(R26)&lt;=ShiftThresholdDays,"unchanged",IF(R26&gt;0,"delayed","accelerated"))))</f>
        <v/>
      </c>
    </row>
    <row r="27">
      <c r="A27" s="2" t="n"/>
      <c r="B27" s="2" t="n"/>
      <c r="C27" s="2" t="n"/>
      <c r="D27" s="2" t="n"/>
      <c r="E27" s="2" t="n"/>
      <c r="F27" s="2" t="n"/>
      <c r="G27" s="3" t="n"/>
      <c r="H27" s="2" t="n"/>
      <c r="I27" s="3" t="n"/>
      <c r="J27" s="2" t="n"/>
      <c r="K27" s="2" t="n"/>
      <c r="L27" s="2" t="n"/>
      <c r="M27" s="2" t="n"/>
      <c r="N27" s="2" t="n"/>
      <c r="O27" s="2" t="n"/>
      <c r="P27" s="2" t="n"/>
      <c r="Q27" s="4">
        <f>IF(OR(A27="",E27=""),"",IF(MAXIFS($E$2:$E$1001,$A$2:$A$1001,A27,$E$2:$E$1001,"&lt;"&amp;E27)=0,"",SUMIFS($G$2:$G$1001,$A$2:$A$1001,A27,$E$2:$E$1001,MAXIFS($E$2:$E$1001,$A$2:$A$1001,A27,$E$2:$E$1001,"&lt;"&amp;E27))))</f>
        <v/>
      </c>
      <c r="R27" s="9">
        <f>IF(OR(Q27="",G27=""),"",G27-Q27)</f>
        <v/>
      </c>
      <c r="S27" s="9">
        <f>IF(R27="","",SUMIFS($R$2:$R$1001,$A$2:$A$1001,A27,$E$2:$E$1001,"&lt;="&amp;E27))</f>
        <v/>
      </c>
      <c r="T27" s="5">
        <f>IF(A27="","",IF(R27="","initial",IF(ABS(R27)&lt;=ShiftThresholdDays,"unchanged",IF(R27&gt;0,"delayed","accelerated"))))</f>
        <v/>
      </c>
    </row>
    <row r="28">
      <c r="A28" s="2" t="n"/>
      <c r="B28" s="2" t="n"/>
      <c r="C28" s="2" t="n"/>
      <c r="D28" s="2" t="n"/>
      <c r="E28" s="2" t="n"/>
      <c r="F28" s="2" t="n"/>
      <c r="G28" s="3" t="n"/>
      <c r="H28" s="2" t="n"/>
      <c r="I28" s="3" t="n"/>
      <c r="J28" s="2" t="n"/>
      <c r="K28" s="2" t="n"/>
      <c r="L28" s="2" t="n"/>
      <c r="M28" s="2" t="n"/>
      <c r="N28" s="2" t="n"/>
      <c r="O28" s="2" t="n"/>
      <c r="P28" s="2" t="n"/>
      <c r="Q28" s="4">
        <f>IF(OR(A28="",E28=""),"",IF(MAXIFS($E$2:$E$1001,$A$2:$A$1001,A28,$E$2:$E$1001,"&lt;"&amp;E28)=0,"",SUMIFS($G$2:$G$1001,$A$2:$A$1001,A28,$E$2:$E$1001,MAXIFS($E$2:$E$1001,$A$2:$A$1001,A28,$E$2:$E$1001,"&lt;"&amp;E28))))</f>
        <v/>
      </c>
      <c r="R28" s="9">
        <f>IF(OR(Q28="",G28=""),"",G28-Q28)</f>
        <v/>
      </c>
      <c r="S28" s="9">
        <f>IF(R28="","",SUMIFS($R$2:$R$1001,$A$2:$A$1001,A28,$E$2:$E$1001,"&lt;="&amp;E28))</f>
        <v/>
      </c>
      <c r="T28" s="5">
        <f>IF(A28="","",IF(R28="","initial",IF(ABS(R28)&lt;=ShiftThresholdDays,"unchanged",IF(R28&gt;0,"delayed","accelerated"))))</f>
        <v/>
      </c>
    </row>
    <row r="29">
      <c r="A29" s="2" t="n"/>
      <c r="B29" s="2" t="n"/>
      <c r="C29" s="2" t="n"/>
      <c r="D29" s="2" t="n"/>
      <c r="E29" s="2" t="n"/>
      <c r="F29" s="2" t="n"/>
      <c r="G29" s="3" t="n"/>
      <c r="H29" s="2" t="n"/>
      <c r="I29" s="3" t="n"/>
      <c r="J29" s="2" t="n"/>
      <c r="K29" s="2" t="n"/>
      <c r="L29" s="2" t="n"/>
      <c r="M29" s="2" t="n"/>
      <c r="N29" s="2" t="n"/>
      <c r="O29" s="2" t="n"/>
      <c r="P29" s="2" t="n"/>
      <c r="Q29" s="4">
        <f>IF(OR(A29="",E29=""),"",IF(MAXIFS($E$2:$E$1001,$A$2:$A$1001,A29,$E$2:$E$1001,"&lt;"&amp;E29)=0,"",SUMIFS($G$2:$G$1001,$A$2:$A$1001,A29,$E$2:$E$1001,MAXIFS($E$2:$E$1001,$A$2:$A$1001,A29,$E$2:$E$1001,"&lt;"&amp;E29))))</f>
        <v/>
      </c>
      <c r="R29" s="9">
        <f>IF(OR(Q29="",G29=""),"",G29-Q29)</f>
        <v/>
      </c>
      <c r="S29" s="9">
        <f>IF(R29="","",SUMIFS($R$2:$R$1001,$A$2:$A$1001,A29,$E$2:$E$1001,"&lt;="&amp;E29))</f>
        <v/>
      </c>
      <c r="T29" s="5">
        <f>IF(A29="","",IF(R29="","initial",IF(ABS(R29)&lt;=ShiftThresholdDays,"unchanged",IF(R29&gt;0,"delayed","accelerated"))))</f>
        <v/>
      </c>
    </row>
    <row r="30">
      <c r="A30" s="2" t="n"/>
      <c r="B30" s="2" t="n"/>
      <c r="C30" s="2" t="n"/>
      <c r="D30" s="2" t="n"/>
      <c r="E30" s="2" t="n"/>
      <c r="F30" s="2" t="n"/>
      <c r="G30" s="3" t="n"/>
      <c r="H30" s="2" t="n"/>
      <c r="I30" s="3" t="n"/>
      <c r="J30" s="2" t="n"/>
      <c r="K30" s="2" t="n"/>
      <c r="L30" s="2" t="n"/>
      <c r="M30" s="2" t="n"/>
      <c r="N30" s="2" t="n"/>
      <c r="O30" s="2" t="n"/>
      <c r="P30" s="2" t="n"/>
      <c r="Q30" s="4">
        <f>IF(OR(A30="",E30=""),"",IF(MAXIFS($E$2:$E$1001,$A$2:$A$1001,A30,$E$2:$E$1001,"&lt;"&amp;E30)=0,"",SUMIFS($G$2:$G$1001,$A$2:$A$1001,A30,$E$2:$E$1001,MAXIFS($E$2:$E$1001,$A$2:$A$1001,A30,$E$2:$E$1001,"&lt;"&amp;E30))))</f>
        <v/>
      </c>
      <c r="R30" s="9">
        <f>IF(OR(Q30="",G30=""),"",G30-Q30)</f>
        <v/>
      </c>
      <c r="S30" s="9">
        <f>IF(R30="","",SUMIFS($R$2:$R$1001,$A$2:$A$1001,A30,$E$2:$E$1001,"&lt;="&amp;E30))</f>
        <v/>
      </c>
      <c r="T30" s="5">
        <f>IF(A30="","",IF(R30="","initial",IF(ABS(R30)&lt;=ShiftThresholdDays,"unchanged",IF(R30&gt;0,"delayed","accelerated"))))</f>
        <v/>
      </c>
    </row>
    <row r="31">
      <c r="A31" s="2" t="n"/>
      <c r="B31" s="2" t="n"/>
      <c r="C31" s="2" t="n"/>
      <c r="D31" s="2" t="n"/>
      <c r="E31" s="2" t="n"/>
      <c r="F31" s="2" t="n"/>
      <c r="G31" s="3" t="n"/>
      <c r="H31" s="2" t="n"/>
      <c r="I31" s="3" t="n"/>
      <c r="J31" s="2" t="n"/>
      <c r="K31" s="2" t="n"/>
      <c r="L31" s="2" t="n"/>
      <c r="M31" s="2" t="n"/>
      <c r="N31" s="2" t="n"/>
      <c r="O31" s="2" t="n"/>
      <c r="P31" s="2" t="n"/>
      <c r="Q31" s="4">
        <f>IF(OR(A31="",E31=""),"",IF(MAXIFS($E$2:$E$1001,$A$2:$A$1001,A31,$E$2:$E$1001,"&lt;"&amp;E31)=0,"",SUMIFS($G$2:$G$1001,$A$2:$A$1001,A31,$E$2:$E$1001,MAXIFS($E$2:$E$1001,$A$2:$A$1001,A31,$E$2:$E$1001,"&lt;"&amp;E31))))</f>
        <v/>
      </c>
      <c r="R31" s="9">
        <f>IF(OR(Q31="",G31=""),"",G31-Q31)</f>
        <v/>
      </c>
      <c r="S31" s="9">
        <f>IF(R31="","",SUMIFS($R$2:$R$1001,$A$2:$A$1001,A31,$E$2:$E$1001,"&lt;="&amp;E31))</f>
        <v/>
      </c>
      <c r="T31" s="5">
        <f>IF(A31="","",IF(R31="","initial",IF(ABS(R31)&lt;=ShiftThresholdDays,"unchanged",IF(R31&gt;0,"delayed","accelerated"))))</f>
        <v/>
      </c>
    </row>
    <row r="32">
      <c r="A32" s="2" t="n"/>
      <c r="B32" s="2" t="n"/>
      <c r="C32" s="2" t="n"/>
      <c r="D32" s="2" t="n"/>
      <c r="E32" s="2" t="n"/>
      <c r="F32" s="2" t="n"/>
      <c r="G32" s="3" t="n"/>
      <c r="H32" s="2" t="n"/>
      <c r="I32" s="3" t="n"/>
      <c r="J32" s="2" t="n"/>
      <c r="K32" s="2" t="n"/>
      <c r="L32" s="2" t="n"/>
      <c r="M32" s="2" t="n"/>
      <c r="N32" s="2" t="n"/>
      <c r="O32" s="2" t="n"/>
      <c r="P32" s="2" t="n"/>
      <c r="Q32" s="4">
        <f>IF(OR(A32="",E32=""),"",IF(MAXIFS($E$2:$E$1001,$A$2:$A$1001,A32,$E$2:$E$1001,"&lt;"&amp;E32)=0,"",SUMIFS($G$2:$G$1001,$A$2:$A$1001,A32,$E$2:$E$1001,MAXIFS($E$2:$E$1001,$A$2:$A$1001,A32,$E$2:$E$1001,"&lt;"&amp;E32))))</f>
        <v/>
      </c>
      <c r="R32" s="9">
        <f>IF(OR(Q32="",G32=""),"",G32-Q32)</f>
        <v/>
      </c>
      <c r="S32" s="9">
        <f>IF(R32="","",SUMIFS($R$2:$R$1001,$A$2:$A$1001,A32,$E$2:$E$1001,"&lt;="&amp;E32))</f>
        <v/>
      </c>
      <c r="T32" s="5">
        <f>IF(A32="","",IF(R32="","initial",IF(ABS(R32)&lt;=ShiftThresholdDays,"unchanged",IF(R32&gt;0,"delayed","accelerated"))))</f>
        <v/>
      </c>
    </row>
    <row r="33">
      <c r="A33" s="2" t="n"/>
      <c r="B33" s="2" t="n"/>
      <c r="C33" s="2" t="n"/>
      <c r="D33" s="2" t="n"/>
      <c r="E33" s="2" t="n"/>
      <c r="F33" s="2" t="n"/>
      <c r="G33" s="3" t="n"/>
      <c r="H33" s="2" t="n"/>
      <c r="I33" s="3" t="n"/>
      <c r="J33" s="2" t="n"/>
      <c r="K33" s="2" t="n"/>
      <c r="L33" s="2" t="n"/>
      <c r="M33" s="2" t="n"/>
      <c r="N33" s="2" t="n"/>
      <c r="O33" s="2" t="n"/>
      <c r="P33" s="2" t="n"/>
      <c r="Q33" s="4">
        <f>IF(OR(A33="",E33=""),"",IF(MAXIFS($E$2:$E$1001,$A$2:$A$1001,A33,$E$2:$E$1001,"&lt;"&amp;E33)=0,"",SUMIFS($G$2:$G$1001,$A$2:$A$1001,A33,$E$2:$E$1001,MAXIFS($E$2:$E$1001,$A$2:$A$1001,A33,$E$2:$E$1001,"&lt;"&amp;E33))))</f>
        <v/>
      </c>
      <c r="R33" s="9">
        <f>IF(OR(Q33="",G33=""),"",G33-Q33)</f>
        <v/>
      </c>
      <c r="S33" s="9">
        <f>IF(R33="","",SUMIFS($R$2:$R$1001,$A$2:$A$1001,A33,$E$2:$E$1001,"&lt;="&amp;E33))</f>
        <v/>
      </c>
      <c r="T33" s="5">
        <f>IF(A33="","",IF(R33="","initial",IF(ABS(R33)&lt;=ShiftThresholdDays,"unchanged",IF(R33&gt;0,"delayed","accelerated"))))</f>
        <v/>
      </c>
    </row>
    <row r="34">
      <c r="A34" s="2" t="n"/>
      <c r="B34" s="2" t="n"/>
      <c r="C34" s="2" t="n"/>
      <c r="D34" s="2" t="n"/>
      <c r="E34" s="2" t="n"/>
      <c r="F34" s="2" t="n"/>
      <c r="G34" s="3" t="n"/>
      <c r="H34" s="2" t="n"/>
      <c r="I34" s="3" t="n"/>
      <c r="J34" s="2" t="n"/>
      <c r="K34" s="2" t="n"/>
      <c r="L34" s="2" t="n"/>
      <c r="M34" s="2" t="n"/>
      <c r="N34" s="2" t="n"/>
      <c r="O34" s="2" t="n"/>
      <c r="P34" s="2" t="n"/>
      <c r="Q34" s="4">
        <f>IF(OR(A34="",E34=""),"",IF(MAXIFS($E$2:$E$1001,$A$2:$A$1001,A34,$E$2:$E$1001,"&lt;"&amp;E34)=0,"",SUMIFS($G$2:$G$1001,$A$2:$A$1001,A34,$E$2:$E$1001,MAXIFS($E$2:$E$1001,$A$2:$A$1001,A34,$E$2:$E$1001,"&lt;"&amp;E34))))</f>
        <v/>
      </c>
      <c r="R34" s="9">
        <f>IF(OR(Q34="",G34=""),"",G34-Q34)</f>
        <v/>
      </c>
      <c r="S34" s="9">
        <f>IF(R34="","",SUMIFS($R$2:$R$1001,$A$2:$A$1001,A34,$E$2:$E$1001,"&lt;="&amp;E34))</f>
        <v/>
      </c>
      <c r="T34" s="5">
        <f>IF(A34="","",IF(R34="","initial",IF(ABS(R34)&lt;=ShiftThresholdDays,"unchanged",IF(R34&gt;0,"delayed","accelerated"))))</f>
        <v/>
      </c>
    </row>
    <row r="35">
      <c r="A35" s="2" t="n"/>
      <c r="B35" s="2" t="n"/>
      <c r="C35" s="2" t="n"/>
      <c r="D35" s="2" t="n"/>
      <c r="E35" s="2" t="n"/>
      <c r="F35" s="2" t="n"/>
      <c r="G35" s="3" t="n"/>
      <c r="H35" s="2" t="n"/>
      <c r="I35" s="3" t="n"/>
      <c r="J35" s="2" t="n"/>
      <c r="K35" s="2" t="n"/>
      <c r="L35" s="2" t="n"/>
      <c r="M35" s="2" t="n"/>
      <c r="N35" s="2" t="n"/>
      <c r="O35" s="2" t="n"/>
      <c r="P35" s="2" t="n"/>
      <c r="Q35" s="4">
        <f>IF(OR(A35="",E35=""),"",IF(MAXIFS($E$2:$E$1001,$A$2:$A$1001,A35,$E$2:$E$1001,"&lt;"&amp;E35)=0,"",SUMIFS($G$2:$G$1001,$A$2:$A$1001,A35,$E$2:$E$1001,MAXIFS($E$2:$E$1001,$A$2:$A$1001,A35,$E$2:$E$1001,"&lt;"&amp;E35))))</f>
        <v/>
      </c>
      <c r="R35" s="9">
        <f>IF(OR(Q35="",G35=""),"",G35-Q35)</f>
        <v/>
      </c>
      <c r="S35" s="9">
        <f>IF(R35="","",SUMIFS($R$2:$R$1001,$A$2:$A$1001,A35,$E$2:$E$1001,"&lt;="&amp;E35))</f>
        <v/>
      </c>
      <c r="T35" s="5">
        <f>IF(A35="","",IF(R35="","initial",IF(ABS(R35)&lt;=ShiftThresholdDays,"unchanged",IF(R35&gt;0,"delayed","accelerated"))))</f>
        <v/>
      </c>
    </row>
    <row r="36">
      <c r="A36" s="2" t="n"/>
      <c r="B36" s="2" t="n"/>
      <c r="C36" s="2" t="n"/>
      <c r="D36" s="2" t="n"/>
      <c r="E36" s="2" t="n"/>
      <c r="F36" s="2" t="n"/>
      <c r="G36" s="3" t="n"/>
      <c r="H36" s="2" t="n"/>
      <c r="I36" s="3" t="n"/>
      <c r="J36" s="2" t="n"/>
      <c r="K36" s="2" t="n"/>
      <c r="L36" s="2" t="n"/>
      <c r="M36" s="2" t="n"/>
      <c r="N36" s="2" t="n"/>
      <c r="O36" s="2" t="n"/>
      <c r="P36" s="2" t="n"/>
      <c r="Q36" s="4">
        <f>IF(OR(A36="",E36=""),"",IF(MAXIFS($E$2:$E$1001,$A$2:$A$1001,A36,$E$2:$E$1001,"&lt;"&amp;E36)=0,"",SUMIFS($G$2:$G$1001,$A$2:$A$1001,A36,$E$2:$E$1001,MAXIFS($E$2:$E$1001,$A$2:$A$1001,A36,$E$2:$E$1001,"&lt;"&amp;E36))))</f>
        <v/>
      </c>
      <c r="R36" s="9">
        <f>IF(OR(Q36="",G36=""),"",G36-Q36)</f>
        <v/>
      </c>
      <c r="S36" s="9">
        <f>IF(R36="","",SUMIFS($R$2:$R$1001,$A$2:$A$1001,A36,$E$2:$E$1001,"&lt;="&amp;E36))</f>
        <v/>
      </c>
      <c r="T36" s="5">
        <f>IF(A36="","",IF(R36="","initial",IF(ABS(R36)&lt;=ShiftThresholdDays,"unchanged",IF(R36&gt;0,"delayed","accelerated"))))</f>
        <v/>
      </c>
    </row>
    <row r="37">
      <c r="A37" s="2" t="n"/>
      <c r="B37" s="2" t="n"/>
      <c r="C37" s="2" t="n"/>
      <c r="D37" s="2" t="n"/>
      <c r="E37" s="2" t="n"/>
      <c r="F37" s="2" t="n"/>
      <c r="G37" s="3" t="n"/>
      <c r="H37" s="2" t="n"/>
      <c r="I37" s="3" t="n"/>
      <c r="J37" s="2" t="n"/>
      <c r="K37" s="2" t="n"/>
      <c r="L37" s="2" t="n"/>
      <c r="M37" s="2" t="n"/>
      <c r="N37" s="2" t="n"/>
      <c r="O37" s="2" t="n"/>
      <c r="P37" s="2" t="n"/>
      <c r="Q37" s="4">
        <f>IF(OR(A37="",E37=""),"",IF(MAXIFS($E$2:$E$1001,$A$2:$A$1001,A37,$E$2:$E$1001,"&lt;"&amp;E37)=0,"",SUMIFS($G$2:$G$1001,$A$2:$A$1001,A37,$E$2:$E$1001,MAXIFS($E$2:$E$1001,$A$2:$A$1001,A37,$E$2:$E$1001,"&lt;"&amp;E37))))</f>
        <v/>
      </c>
      <c r="R37" s="9">
        <f>IF(OR(Q37="",G37=""),"",G37-Q37)</f>
        <v/>
      </c>
      <c r="S37" s="9">
        <f>IF(R37="","",SUMIFS($R$2:$R$1001,$A$2:$A$1001,A37,$E$2:$E$1001,"&lt;="&amp;E37))</f>
        <v/>
      </c>
      <c r="T37" s="5">
        <f>IF(A37="","",IF(R37="","initial",IF(ABS(R37)&lt;=ShiftThresholdDays,"unchanged",IF(R37&gt;0,"delayed","accelerated"))))</f>
        <v/>
      </c>
    </row>
    <row r="38">
      <c r="A38" s="2" t="n"/>
      <c r="B38" s="2" t="n"/>
      <c r="C38" s="2" t="n"/>
      <c r="D38" s="2" t="n"/>
      <c r="E38" s="2" t="n"/>
      <c r="F38" s="2" t="n"/>
      <c r="G38" s="3" t="n"/>
      <c r="H38" s="2" t="n"/>
      <c r="I38" s="3" t="n"/>
      <c r="J38" s="2" t="n"/>
      <c r="K38" s="2" t="n"/>
      <c r="L38" s="2" t="n"/>
      <c r="M38" s="2" t="n"/>
      <c r="N38" s="2" t="n"/>
      <c r="O38" s="2" t="n"/>
      <c r="P38" s="2" t="n"/>
      <c r="Q38" s="4">
        <f>IF(OR(A38="",E38=""),"",IF(MAXIFS($E$2:$E$1001,$A$2:$A$1001,A38,$E$2:$E$1001,"&lt;"&amp;E38)=0,"",SUMIFS($G$2:$G$1001,$A$2:$A$1001,A38,$E$2:$E$1001,MAXIFS($E$2:$E$1001,$A$2:$A$1001,A38,$E$2:$E$1001,"&lt;"&amp;E38))))</f>
        <v/>
      </c>
      <c r="R38" s="9">
        <f>IF(OR(Q38="",G38=""),"",G38-Q38)</f>
        <v/>
      </c>
      <c r="S38" s="9">
        <f>IF(R38="","",SUMIFS($R$2:$R$1001,$A$2:$A$1001,A38,$E$2:$E$1001,"&lt;="&amp;E38))</f>
        <v/>
      </c>
      <c r="T38" s="5">
        <f>IF(A38="","",IF(R38="","initial",IF(ABS(R38)&lt;=ShiftThresholdDays,"unchanged",IF(R38&gt;0,"delayed","accelerated"))))</f>
        <v/>
      </c>
    </row>
    <row r="39">
      <c r="A39" s="2" t="n"/>
      <c r="B39" s="2" t="n"/>
      <c r="C39" s="2" t="n"/>
      <c r="D39" s="2" t="n"/>
      <c r="E39" s="2" t="n"/>
      <c r="F39" s="2" t="n"/>
      <c r="G39" s="3" t="n"/>
      <c r="H39" s="2" t="n"/>
      <c r="I39" s="3" t="n"/>
      <c r="J39" s="2" t="n"/>
      <c r="K39" s="2" t="n"/>
      <c r="L39" s="2" t="n"/>
      <c r="M39" s="2" t="n"/>
      <c r="N39" s="2" t="n"/>
      <c r="O39" s="2" t="n"/>
      <c r="P39" s="2" t="n"/>
      <c r="Q39" s="4">
        <f>IF(OR(A39="",E39=""),"",IF(MAXIFS($E$2:$E$1001,$A$2:$A$1001,A39,$E$2:$E$1001,"&lt;"&amp;E39)=0,"",SUMIFS($G$2:$G$1001,$A$2:$A$1001,A39,$E$2:$E$1001,MAXIFS($E$2:$E$1001,$A$2:$A$1001,A39,$E$2:$E$1001,"&lt;"&amp;E39))))</f>
        <v/>
      </c>
      <c r="R39" s="9">
        <f>IF(OR(Q39="",G39=""),"",G39-Q39)</f>
        <v/>
      </c>
      <c r="S39" s="9">
        <f>IF(R39="","",SUMIFS($R$2:$R$1001,$A$2:$A$1001,A39,$E$2:$E$1001,"&lt;="&amp;E39))</f>
        <v/>
      </c>
      <c r="T39" s="5">
        <f>IF(A39="","",IF(R39="","initial",IF(ABS(R39)&lt;=ShiftThresholdDays,"unchanged",IF(R39&gt;0,"delayed","accelerated"))))</f>
        <v/>
      </c>
    </row>
    <row r="40">
      <c r="A40" s="2" t="n"/>
      <c r="B40" s="2" t="n"/>
      <c r="C40" s="2" t="n"/>
      <c r="D40" s="2" t="n"/>
      <c r="E40" s="2" t="n"/>
      <c r="F40" s="2" t="n"/>
      <c r="G40" s="3" t="n"/>
      <c r="H40" s="2" t="n"/>
      <c r="I40" s="3" t="n"/>
      <c r="J40" s="2" t="n"/>
      <c r="K40" s="2" t="n"/>
      <c r="L40" s="2" t="n"/>
      <c r="M40" s="2" t="n"/>
      <c r="N40" s="2" t="n"/>
      <c r="O40" s="2" t="n"/>
      <c r="P40" s="2" t="n"/>
      <c r="Q40" s="4">
        <f>IF(OR(A40="",E40=""),"",IF(MAXIFS($E$2:$E$1001,$A$2:$A$1001,A40,$E$2:$E$1001,"&lt;"&amp;E40)=0,"",SUMIFS($G$2:$G$1001,$A$2:$A$1001,A40,$E$2:$E$1001,MAXIFS($E$2:$E$1001,$A$2:$A$1001,A40,$E$2:$E$1001,"&lt;"&amp;E40))))</f>
        <v/>
      </c>
      <c r="R40" s="9">
        <f>IF(OR(Q40="",G40=""),"",G40-Q40)</f>
        <v/>
      </c>
      <c r="S40" s="9">
        <f>IF(R40="","",SUMIFS($R$2:$R$1001,$A$2:$A$1001,A40,$E$2:$E$1001,"&lt;="&amp;E40))</f>
        <v/>
      </c>
      <c r="T40" s="5">
        <f>IF(A40="","",IF(R40="","initial",IF(ABS(R40)&lt;=ShiftThresholdDays,"unchanged",IF(R40&gt;0,"delayed","accelerated"))))</f>
        <v/>
      </c>
    </row>
    <row r="41">
      <c r="A41" s="2" t="n"/>
      <c r="B41" s="2" t="n"/>
      <c r="C41" s="2" t="n"/>
      <c r="D41" s="2" t="n"/>
      <c r="E41" s="2" t="n"/>
      <c r="F41" s="2" t="n"/>
      <c r="G41" s="3" t="n"/>
      <c r="H41" s="2" t="n"/>
      <c r="I41" s="3" t="n"/>
      <c r="J41" s="2" t="n"/>
      <c r="K41" s="2" t="n"/>
      <c r="L41" s="2" t="n"/>
      <c r="M41" s="2" t="n"/>
      <c r="N41" s="2" t="n"/>
      <c r="O41" s="2" t="n"/>
      <c r="P41" s="2" t="n"/>
      <c r="Q41" s="4">
        <f>IF(OR(A41="",E41=""),"",IF(MAXIFS($E$2:$E$1001,$A$2:$A$1001,A41,$E$2:$E$1001,"&lt;"&amp;E41)=0,"",SUMIFS($G$2:$G$1001,$A$2:$A$1001,A41,$E$2:$E$1001,MAXIFS($E$2:$E$1001,$A$2:$A$1001,A41,$E$2:$E$1001,"&lt;"&amp;E41))))</f>
        <v/>
      </c>
      <c r="R41" s="9">
        <f>IF(OR(Q41="",G41=""),"",G41-Q41)</f>
        <v/>
      </c>
      <c r="S41" s="9">
        <f>IF(R41="","",SUMIFS($R$2:$R$1001,$A$2:$A$1001,A41,$E$2:$E$1001,"&lt;="&amp;E41))</f>
        <v/>
      </c>
      <c r="T41" s="5">
        <f>IF(A41="","",IF(R41="","initial",IF(ABS(R41)&lt;=ShiftThresholdDays,"unchanged",IF(R41&gt;0,"delayed","accelerated"))))</f>
        <v/>
      </c>
    </row>
    <row r="42">
      <c r="A42" s="2" t="n"/>
      <c r="B42" s="2" t="n"/>
      <c r="C42" s="2" t="n"/>
      <c r="D42" s="2" t="n"/>
      <c r="E42" s="2" t="n"/>
      <c r="F42" s="2" t="n"/>
      <c r="G42" s="3" t="n"/>
      <c r="H42" s="2" t="n"/>
      <c r="I42" s="3" t="n"/>
      <c r="J42" s="2" t="n"/>
      <c r="K42" s="2" t="n"/>
      <c r="L42" s="2" t="n"/>
      <c r="M42" s="2" t="n"/>
      <c r="N42" s="2" t="n"/>
      <c r="O42" s="2" t="n"/>
      <c r="P42" s="2" t="n"/>
      <c r="Q42" s="4">
        <f>IF(OR(A42="",E42=""),"",IF(MAXIFS($E$2:$E$1001,$A$2:$A$1001,A42,$E$2:$E$1001,"&lt;"&amp;E42)=0,"",SUMIFS($G$2:$G$1001,$A$2:$A$1001,A42,$E$2:$E$1001,MAXIFS($E$2:$E$1001,$A$2:$A$1001,A42,$E$2:$E$1001,"&lt;"&amp;E42))))</f>
        <v/>
      </c>
      <c r="R42" s="9">
        <f>IF(OR(Q42="",G42=""),"",G42-Q42)</f>
        <v/>
      </c>
      <c r="S42" s="9">
        <f>IF(R42="","",SUMIFS($R$2:$R$1001,$A$2:$A$1001,A42,$E$2:$E$1001,"&lt;="&amp;E42))</f>
        <v/>
      </c>
      <c r="T42" s="5">
        <f>IF(A42="","",IF(R42="","initial",IF(ABS(R42)&lt;=ShiftThresholdDays,"unchanged",IF(R42&gt;0,"delayed","accelerated"))))</f>
        <v/>
      </c>
    </row>
    <row r="43">
      <c r="A43" s="2" t="n"/>
      <c r="B43" s="2" t="n"/>
      <c r="C43" s="2" t="n"/>
      <c r="D43" s="2" t="n"/>
      <c r="E43" s="2" t="n"/>
      <c r="F43" s="2" t="n"/>
      <c r="G43" s="3" t="n"/>
      <c r="H43" s="2" t="n"/>
      <c r="I43" s="3" t="n"/>
      <c r="J43" s="2" t="n"/>
      <c r="K43" s="2" t="n"/>
      <c r="L43" s="2" t="n"/>
      <c r="M43" s="2" t="n"/>
      <c r="N43" s="2" t="n"/>
      <c r="O43" s="2" t="n"/>
      <c r="P43" s="2" t="n"/>
      <c r="Q43" s="4">
        <f>IF(OR(A43="",E43=""),"",IF(MAXIFS($E$2:$E$1001,$A$2:$A$1001,A43,$E$2:$E$1001,"&lt;"&amp;E43)=0,"",SUMIFS($G$2:$G$1001,$A$2:$A$1001,A43,$E$2:$E$1001,MAXIFS($E$2:$E$1001,$A$2:$A$1001,A43,$E$2:$E$1001,"&lt;"&amp;E43))))</f>
        <v/>
      </c>
      <c r="R43" s="9">
        <f>IF(OR(Q43="",G43=""),"",G43-Q43)</f>
        <v/>
      </c>
      <c r="S43" s="9">
        <f>IF(R43="","",SUMIFS($R$2:$R$1001,$A$2:$A$1001,A43,$E$2:$E$1001,"&lt;="&amp;E43))</f>
        <v/>
      </c>
      <c r="T43" s="5">
        <f>IF(A43="","",IF(R43="","initial",IF(ABS(R43)&lt;=ShiftThresholdDays,"unchanged",IF(R43&gt;0,"delayed","accelerated"))))</f>
        <v/>
      </c>
    </row>
    <row r="44">
      <c r="A44" s="2" t="n"/>
      <c r="B44" s="2" t="n"/>
      <c r="C44" s="2" t="n"/>
      <c r="D44" s="2" t="n"/>
      <c r="E44" s="2" t="n"/>
      <c r="F44" s="2" t="n"/>
      <c r="G44" s="3" t="n"/>
      <c r="H44" s="2" t="n"/>
      <c r="I44" s="3" t="n"/>
      <c r="J44" s="2" t="n"/>
      <c r="K44" s="2" t="n"/>
      <c r="L44" s="2" t="n"/>
      <c r="M44" s="2" t="n"/>
      <c r="N44" s="2" t="n"/>
      <c r="O44" s="2" t="n"/>
      <c r="P44" s="2" t="n"/>
      <c r="Q44" s="4">
        <f>IF(OR(A44="",E44=""),"",IF(MAXIFS($E$2:$E$1001,$A$2:$A$1001,A44,$E$2:$E$1001,"&lt;"&amp;E44)=0,"",SUMIFS($G$2:$G$1001,$A$2:$A$1001,A44,$E$2:$E$1001,MAXIFS($E$2:$E$1001,$A$2:$A$1001,A44,$E$2:$E$1001,"&lt;"&amp;E44))))</f>
        <v/>
      </c>
      <c r="R44" s="9">
        <f>IF(OR(Q44="",G44=""),"",G44-Q44)</f>
        <v/>
      </c>
      <c r="S44" s="9">
        <f>IF(R44="","",SUMIFS($R$2:$R$1001,$A$2:$A$1001,A44,$E$2:$E$1001,"&lt;="&amp;E44))</f>
        <v/>
      </c>
      <c r="T44" s="5">
        <f>IF(A44="","",IF(R44="","initial",IF(ABS(R44)&lt;=ShiftThresholdDays,"unchanged",IF(R44&gt;0,"delayed","accelerated"))))</f>
        <v/>
      </c>
    </row>
    <row r="45">
      <c r="A45" s="2" t="n"/>
      <c r="B45" s="2" t="n"/>
      <c r="C45" s="2" t="n"/>
      <c r="D45" s="2" t="n"/>
      <c r="E45" s="2" t="n"/>
      <c r="F45" s="2" t="n"/>
      <c r="G45" s="3" t="n"/>
      <c r="H45" s="2" t="n"/>
      <c r="I45" s="3" t="n"/>
      <c r="J45" s="2" t="n"/>
      <c r="K45" s="2" t="n"/>
      <c r="L45" s="2" t="n"/>
      <c r="M45" s="2" t="n"/>
      <c r="N45" s="2" t="n"/>
      <c r="O45" s="2" t="n"/>
      <c r="P45" s="2" t="n"/>
      <c r="Q45" s="4">
        <f>IF(OR(A45="",E45=""),"",IF(MAXIFS($E$2:$E$1001,$A$2:$A$1001,A45,$E$2:$E$1001,"&lt;"&amp;E45)=0,"",SUMIFS($G$2:$G$1001,$A$2:$A$1001,A45,$E$2:$E$1001,MAXIFS($E$2:$E$1001,$A$2:$A$1001,A45,$E$2:$E$1001,"&lt;"&amp;E45))))</f>
        <v/>
      </c>
      <c r="R45" s="9">
        <f>IF(OR(Q45="",G45=""),"",G45-Q45)</f>
        <v/>
      </c>
      <c r="S45" s="9">
        <f>IF(R45="","",SUMIFS($R$2:$R$1001,$A$2:$A$1001,A45,$E$2:$E$1001,"&lt;="&amp;E45))</f>
        <v/>
      </c>
      <c r="T45" s="5">
        <f>IF(A45="","",IF(R45="","initial",IF(ABS(R45)&lt;=ShiftThresholdDays,"unchanged",IF(R45&gt;0,"delayed","accelerated"))))</f>
        <v/>
      </c>
    </row>
    <row r="46">
      <c r="A46" s="2" t="n"/>
      <c r="B46" s="2" t="n"/>
      <c r="C46" s="2" t="n"/>
      <c r="D46" s="2" t="n"/>
      <c r="E46" s="2" t="n"/>
      <c r="F46" s="2" t="n"/>
      <c r="G46" s="3" t="n"/>
      <c r="H46" s="2" t="n"/>
      <c r="I46" s="3" t="n"/>
      <c r="J46" s="2" t="n"/>
      <c r="K46" s="2" t="n"/>
      <c r="L46" s="2" t="n"/>
      <c r="M46" s="2" t="n"/>
      <c r="N46" s="2" t="n"/>
      <c r="O46" s="2" t="n"/>
      <c r="P46" s="2" t="n"/>
      <c r="Q46" s="4">
        <f>IF(OR(A46="",E46=""),"",IF(MAXIFS($E$2:$E$1001,$A$2:$A$1001,A46,$E$2:$E$1001,"&lt;"&amp;E46)=0,"",SUMIFS($G$2:$G$1001,$A$2:$A$1001,A46,$E$2:$E$1001,MAXIFS($E$2:$E$1001,$A$2:$A$1001,A46,$E$2:$E$1001,"&lt;"&amp;E46))))</f>
        <v/>
      </c>
      <c r="R46" s="9">
        <f>IF(OR(Q46="",G46=""),"",G46-Q46)</f>
        <v/>
      </c>
      <c r="S46" s="9">
        <f>IF(R46="","",SUMIFS($R$2:$R$1001,$A$2:$A$1001,A46,$E$2:$E$1001,"&lt;="&amp;E46))</f>
        <v/>
      </c>
      <c r="T46" s="5">
        <f>IF(A46="","",IF(R46="","initial",IF(ABS(R46)&lt;=ShiftThresholdDays,"unchanged",IF(R46&gt;0,"delayed","accelerated"))))</f>
        <v/>
      </c>
    </row>
    <row r="47">
      <c r="A47" s="2" t="n"/>
      <c r="B47" s="2" t="n"/>
      <c r="C47" s="2" t="n"/>
      <c r="D47" s="2" t="n"/>
      <c r="E47" s="2" t="n"/>
      <c r="F47" s="2" t="n"/>
      <c r="G47" s="3" t="n"/>
      <c r="H47" s="2" t="n"/>
      <c r="I47" s="3" t="n"/>
      <c r="J47" s="2" t="n"/>
      <c r="K47" s="2" t="n"/>
      <c r="L47" s="2" t="n"/>
      <c r="M47" s="2" t="n"/>
      <c r="N47" s="2" t="n"/>
      <c r="O47" s="2" t="n"/>
      <c r="P47" s="2" t="n"/>
      <c r="Q47" s="4">
        <f>IF(OR(A47="",E47=""),"",IF(MAXIFS($E$2:$E$1001,$A$2:$A$1001,A47,$E$2:$E$1001,"&lt;"&amp;E47)=0,"",SUMIFS($G$2:$G$1001,$A$2:$A$1001,A47,$E$2:$E$1001,MAXIFS($E$2:$E$1001,$A$2:$A$1001,A47,$E$2:$E$1001,"&lt;"&amp;E47))))</f>
        <v/>
      </c>
      <c r="R47" s="9">
        <f>IF(OR(Q47="",G47=""),"",G47-Q47)</f>
        <v/>
      </c>
      <c r="S47" s="9">
        <f>IF(R47="","",SUMIFS($R$2:$R$1001,$A$2:$A$1001,A47,$E$2:$E$1001,"&lt;="&amp;E47))</f>
        <v/>
      </c>
      <c r="T47" s="5">
        <f>IF(A47="","",IF(R47="","initial",IF(ABS(R47)&lt;=ShiftThresholdDays,"unchanged",IF(R47&gt;0,"delayed","accelerated"))))</f>
        <v/>
      </c>
    </row>
    <row r="48">
      <c r="A48" s="2" t="n"/>
      <c r="B48" s="2" t="n"/>
      <c r="C48" s="2" t="n"/>
      <c r="D48" s="2" t="n"/>
      <c r="E48" s="2" t="n"/>
      <c r="F48" s="2" t="n"/>
      <c r="G48" s="3" t="n"/>
      <c r="H48" s="2" t="n"/>
      <c r="I48" s="3" t="n"/>
      <c r="J48" s="2" t="n"/>
      <c r="K48" s="2" t="n"/>
      <c r="L48" s="2" t="n"/>
      <c r="M48" s="2" t="n"/>
      <c r="N48" s="2" t="n"/>
      <c r="O48" s="2" t="n"/>
      <c r="P48" s="2" t="n"/>
      <c r="Q48" s="4">
        <f>IF(OR(A48="",E48=""),"",IF(MAXIFS($E$2:$E$1001,$A$2:$A$1001,A48,$E$2:$E$1001,"&lt;"&amp;E48)=0,"",SUMIFS($G$2:$G$1001,$A$2:$A$1001,A48,$E$2:$E$1001,MAXIFS($E$2:$E$1001,$A$2:$A$1001,A48,$E$2:$E$1001,"&lt;"&amp;E48))))</f>
        <v/>
      </c>
      <c r="R48" s="9">
        <f>IF(OR(Q48="",G48=""),"",G48-Q48)</f>
        <v/>
      </c>
      <c r="S48" s="9">
        <f>IF(R48="","",SUMIFS($R$2:$R$1001,$A$2:$A$1001,A48,$E$2:$E$1001,"&lt;="&amp;E48))</f>
        <v/>
      </c>
      <c r="T48" s="5">
        <f>IF(A48="","",IF(R48="","initial",IF(ABS(R48)&lt;=ShiftThresholdDays,"unchanged",IF(R48&gt;0,"delayed","accelerated"))))</f>
        <v/>
      </c>
    </row>
    <row r="49">
      <c r="A49" s="2" t="n"/>
      <c r="B49" s="2" t="n"/>
      <c r="C49" s="2" t="n"/>
      <c r="D49" s="2" t="n"/>
      <c r="E49" s="2" t="n"/>
      <c r="F49" s="2" t="n"/>
      <c r="G49" s="3" t="n"/>
      <c r="H49" s="2" t="n"/>
      <c r="I49" s="3" t="n"/>
      <c r="J49" s="2" t="n"/>
      <c r="K49" s="2" t="n"/>
      <c r="L49" s="2" t="n"/>
      <c r="M49" s="2" t="n"/>
      <c r="N49" s="2" t="n"/>
      <c r="O49" s="2" t="n"/>
      <c r="P49" s="2" t="n"/>
      <c r="Q49" s="4">
        <f>IF(OR(A49="",E49=""),"",IF(MAXIFS($E$2:$E$1001,$A$2:$A$1001,A49,$E$2:$E$1001,"&lt;"&amp;E49)=0,"",SUMIFS($G$2:$G$1001,$A$2:$A$1001,A49,$E$2:$E$1001,MAXIFS($E$2:$E$1001,$A$2:$A$1001,A49,$E$2:$E$1001,"&lt;"&amp;E49))))</f>
        <v/>
      </c>
      <c r="R49" s="9">
        <f>IF(OR(Q49="",G49=""),"",G49-Q49)</f>
        <v/>
      </c>
      <c r="S49" s="9">
        <f>IF(R49="","",SUMIFS($R$2:$R$1001,$A$2:$A$1001,A49,$E$2:$E$1001,"&lt;="&amp;E49))</f>
        <v/>
      </c>
      <c r="T49" s="5">
        <f>IF(A49="","",IF(R49="","initial",IF(ABS(R49)&lt;=ShiftThresholdDays,"unchanged",IF(R49&gt;0,"delayed","accelerated"))))</f>
        <v/>
      </c>
    </row>
    <row r="50">
      <c r="A50" s="2" t="n"/>
      <c r="B50" s="2" t="n"/>
      <c r="C50" s="2" t="n"/>
      <c r="D50" s="2" t="n"/>
      <c r="E50" s="2" t="n"/>
      <c r="F50" s="2" t="n"/>
      <c r="G50" s="3" t="n"/>
      <c r="H50" s="2" t="n"/>
      <c r="I50" s="3" t="n"/>
      <c r="J50" s="2" t="n"/>
      <c r="K50" s="2" t="n"/>
      <c r="L50" s="2" t="n"/>
      <c r="M50" s="2" t="n"/>
      <c r="N50" s="2" t="n"/>
      <c r="O50" s="2" t="n"/>
      <c r="P50" s="2" t="n"/>
      <c r="Q50" s="4">
        <f>IF(OR(A50="",E50=""),"",IF(MAXIFS($E$2:$E$1001,$A$2:$A$1001,A50,$E$2:$E$1001,"&lt;"&amp;E50)=0,"",SUMIFS($G$2:$G$1001,$A$2:$A$1001,A50,$E$2:$E$1001,MAXIFS($E$2:$E$1001,$A$2:$A$1001,A50,$E$2:$E$1001,"&lt;"&amp;E50))))</f>
        <v/>
      </c>
      <c r="R50" s="9">
        <f>IF(OR(Q50="",G50=""),"",G50-Q50)</f>
        <v/>
      </c>
      <c r="S50" s="9">
        <f>IF(R50="","",SUMIFS($R$2:$R$1001,$A$2:$A$1001,A50,$E$2:$E$1001,"&lt;="&amp;E50))</f>
        <v/>
      </c>
      <c r="T50" s="5">
        <f>IF(A50="","",IF(R50="","initial",IF(ABS(R50)&lt;=ShiftThresholdDays,"unchanged",IF(R50&gt;0,"delayed","accelerated"))))</f>
        <v/>
      </c>
    </row>
    <row r="51">
      <c r="A51" s="2" t="n"/>
      <c r="B51" s="2" t="n"/>
      <c r="C51" s="2" t="n"/>
      <c r="D51" s="2" t="n"/>
      <c r="E51" s="2" t="n"/>
      <c r="F51" s="2" t="n"/>
      <c r="G51" s="3" t="n"/>
      <c r="H51" s="2" t="n"/>
      <c r="I51" s="3" t="n"/>
      <c r="J51" s="2" t="n"/>
      <c r="K51" s="2" t="n"/>
      <c r="L51" s="2" t="n"/>
      <c r="M51" s="2" t="n"/>
      <c r="N51" s="2" t="n"/>
      <c r="O51" s="2" t="n"/>
      <c r="P51" s="2" t="n"/>
      <c r="Q51" s="4">
        <f>IF(OR(A51="",E51=""),"",IF(MAXIFS($E$2:$E$1001,$A$2:$A$1001,A51,$E$2:$E$1001,"&lt;"&amp;E51)=0,"",SUMIFS($G$2:$G$1001,$A$2:$A$1001,A51,$E$2:$E$1001,MAXIFS($E$2:$E$1001,$A$2:$A$1001,A51,$E$2:$E$1001,"&lt;"&amp;E51))))</f>
        <v/>
      </c>
      <c r="R51" s="9">
        <f>IF(OR(Q51="",G51=""),"",G51-Q51)</f>
        <v/>
      </c>
      <c r="S51" s="9">
        <f>IF(R51="","",SUMIFS($R$2:$R$1001,$A$2:$A$1001,A51,$E$2:$E$1001,"&lt;="&amp;E51))</f>
        <v/>
      </c>
      <c r="T51" s="5">
        <f>IF(A51="","",IF(R51="","initial",IF(ABS(R51)&lt;=ShiftThresholdDays,"unchanged",IF(R51&gt;0,"delayed","accelerated"))))</f>
        <v/>
      </c>
    </row>
    <row r="52">
      <c r="A52" s="2" t="n"/>
      <c r="B52" s="2" t="n"/>
      <c r="C52" s="2" t="n"/>
      <c r="D52" s="2" t="n"/>
      <c r="E52" s="2" t="n"/>
      <c r="F52" s="2" t="n"/>
      <c r="G52" s="3" t="n"/>
      <c r="H52" s="2" t="n"/>
      <c r="I52" s="3" t="n"/>
      <c r="J52" s="2" t="n"/>
      <c r="K52" s="2" t="n"/>
      <c r="L52" s="2" t="n"/>
      <c r="M52" s="2" t="n"/>
      <c r="N52" s="2" t="n"/>
      <c r="O52" s="2" t="n"/>
      <c r="P52" s="2" t="n"/>
      <c r="Q52" s="4">
        <f>IF(OR(A52="",E52=""),"",IF(MAXIFS($E$2:$E$1001,$A$2:$A$1001,A52,$E$2:$E$1001,"&lt;"&amp;E52)=0,"",SUMIFS($G$2:$G$1001,$A$2:$A$1001,A52,$E$2:$E$1001,MAXIFS($E$2:$E$1001,$A$2:$A$1001,A52,$E$2:$E$1001,"&lt;"&amp;E52))))</f>
        <v/>
      </c>
      <c r="R52" s="9">
        <f>IF(OR(Q52="",G52=""),"",G52-Q52)</f>
        <v/>
      </c>
      <c r="S52" s="9">
        <f>IF(R52="","",SUMIFS($R$2:$R$1001,$A$2:$A$1001,A52,$E$2:$E$1001,"&lt;="&amp;E52))</f>
        <v/>
      </c>
      <c r="T52" s="5">
        <f>IF(A52="","",IF(R52="","initial",IF(ABS(R52)&lt;=ShiftThresholdDays,"unchanged",IF(R52&gt;0,"delayed","accelerated"))))</f>
        <v/>
      </c>
    </row>
    <row r="53">
      <c r="A53" s="2" t="n"/>
      <c r="B53" s="2" t="n"/>
      <c r="C53" s="2" t="n"/>
      <c r="D53" s="2" t="n"/>
      <c r="E53" s="2" t="n"/>
      <c r="F53" s="2" t="n"/>
      <c r="G53" s="3" t="n"/>
      <c r="H53" s="2" t="n"/>
      <c r="I53" s="3" t="n"/>
      <c r="J53" s="2" t="n"/>
      <c r="K53" s="2" t="n"/>
      <c r="L53" s="2" t="n"/>
      <c r="M53" s="2" t="n"/>
      <c r="N53" s="2" t="n"/>
      <c r="O53" s="2" t="n"/>
      <c r="P53" s="2" t="n"/>
      <c r="Q53" s="4">
        <f>IF(OR(A53="",E53=""),"",IF(MAXIFS($E$2:$E$1001,$A$2:$A$1001,A53,$E$2:$E$1001,"&lt;"&amp;E53)=0,"",SUMIFS($G$2:$G$1001,$A$2:$A$1001,A53,$E$2:$E$1001,MAXIFS($E$2:$E$1001,$A$2:$A$1001,A53,$E$2:$E$1001,"&lt;"&amp;E53))))</f>
        <v/>
      </c>
      <c r="R53" s="9">
        <f>IF(OR(Q53="",G53=""),"",G53-Q53)</f>
        <v/>
      </c>
      <c r="S53" s="9">
        <f>IF(R53="","",SUMIFS($R$2:$R$1001,$A$2:$A$1001,A53,$E$2:$E$1001,"&lt;="&amp;E53))</f>
        <v/>
      </c>
      <c r="T53" s="5">
        <f>IF(A53="","",IF(R53="","initial",IF(ABS(R53)&lt;=ShiftThresholdDays,"unchanged",IF(R53&gt;0,"delayed","accelerated"))))</f>
        <v/>
      </c>
    </row>
    <row r="54">
      <c r="A54" s="2" t="n"/>
      <c r="B54" s="2" t="n"/>
      <c r="C54" s="2" t="n"/>
      <c r="D54" s="2" t="n"/>
      <c r="E54" s="2" t="n"/>
      <c r="F54" s="2" t="n"/>
      <c r="G54" s="3" t="n"/>
      <c r="H54" s="2" t="n"/>
      <c r="I54" s="3" t="n"/>
      <c r="J54" s="2" t="n"/>
      <c r="K54" s="2" t="n"/>
      <c r="L54" s="2" t="n"/>
      <c r="M54" s="2" t="n"/>
      <c r="N54" s="2" t="n"/>
      <c r="O54" s="2" t="n"/>
      <c r="P54" s="2" t="n"/>
      <c r="Q54" s="4">
        <f>IF(OR(A54="",E54=""),"",IF(MAXIFS($E$2:$E$1001,$A$2:$A$1001,A54,$E$2:$E$1001,"&lt;"&amp;E54)=0,"",SUMIFS($G$2:$G$1001,$A$2:$A$1001,A54,$E$2:$E$1001,MAXIFS($E$2:$E$1001,$A$2:$A$1001,A54,$E$2:$E$1001,"&lt;"&amp;E54))))</f>
        <v/>
      </c>
      <c r="R54" s="9">
        <f>IF(OR(Q54="",G54=""),"",G54-Q54)</f>
        <v/>
      </c>
      <c r="S54" s="9">
        <f>IF(R54="","",SUMIFS($R$2:$R$1001,$A$2:$A$1001,A54,$E$2:$E$1001,"&lt;="&amp;E54))</f>
        <v/>
      </c>
      <c r="T54" s="5">
        <f>IF(A54="","",IF(R54="","initial",IF(ABS(R54)&lt;=ShiftThresholdDays,"unchanged",IF(R54&gt;0,"delayed","accelerated"))))</f>
        <v/>
      </c>
    </row>
    <row r="55">
      <c r="A55" s="2" t="n"/>
      <c r="B55" s="2" t="n"/>
      <c r="C55" s="2" t="n"/>
      <c r="D55" s="2" t="n"/>
      <c r="E55" s="2" t="n"/>
      <c r="F55" s="2" t="n"/>
      <c r="G55" s="3" t="n"/>
      <c r="H55" s="2" t="n"/>
      <c r="I55" s="3" t="n"/>
      <c r="J55" s="2" t="n"/>
      <c r="K55" s="2" t="n"/>
      <c r="L55" s="2" t="n"/>
      <c r="M55" s="2" t="n"/>
      <c r="N55" s="2" t="n"/>
      <c r="O55" s="2" t="n"/>
      <c r="P55" s="2" t="n"/>
      <c r="Q55" s="4">
        <f>IF(OR(A55="",E55=""),"",IF(MAXIFS($E$2:$E$1001,$A$2:$A$1001,A55,$E$2:$E$1001,"&lt;"&amp;E55)=0,"",SUMIFS($G$2:$G$1001,$A$2:$A$1001,A55,$E$2:$E$1001,MAXIFS($E$2:$E$1001,$A$2:$A$1001,A55,$E$2:$E$1001,"&lt;"&amp;E55))))</f>
        <v/>
      </c>
      <c r="R55" s="9">
        <f>IF(OR(Q55="",G55=""),"",G55-Q55)</f>
        <v/>
      </c>
      <c r="S55" s="9">
        <f>IF(R55="","",SUMIFS($R$2:$R$1001,$A$2:$A$1001,A55,$E$2:$E$1001,"&lt;="&amp;E55))</f>
        <v/>
      </c>
      <c r="T55" s="5">
        <f>IF(A55="","",IF(R55="","initial",IF(ABS(R55)&lt;=ShiftThresholdDays,"unchanged",IF(R55&gt;0,"delayed","accelerated"))))</f>
        <v/>
      </c>
    </row>
    <row r="56">
      <c r="A56" s="2" t="n"/>
      <c r="B56" s="2" t="n"/>
      <c r="C56" s="2" t="n"/>
      <c r="D56" s="2" t="n"/>
      <c r="E56" s="2" t="n"/>
      <c r="F56" s="2" t="n"/>
      <c r="G56" s="3" t="n"/>
      <c r="H56" s="2" t="n"/>
      <c r="I56" s="3" t="n"/>
      <c r="J56" s="2" t="n"/>
      <c r="K56" s="2" t="n"/>
      <c r="L56" s="2" t="n"/>
      <c r="M56" s="2" t="n"/>
      <c r="N56" s="2" t="n"/>
      <c r="O56" s="2" t="n"/>
      <c r="P56" s="2" t="n"/>
      <c r="Q56" s="4">
        <f>IF(OR(A56="",E56=""),"",IF(MAXIFS($E$2:$E$1001,$A$2:$A$1001,A56,$E$2:$E$1001,"&lt;"&amp;E56)=0,"",SUMIFS($G$2:$G$1001,$A$2:$A$1001,A56,$E$2:$E$1001,MAXIFS($E$2:$E$1001,$A$2:$A$1001,A56,$E$2:$E$1001,"&lt;"&amp;E56))))</f>
        <v/>
      </c>
      <c r="R56" s="9">
        <f>IF(OR(Q56="",G56=""),"",G56-Q56)</f>
        <v/>
      </c>
      <c r="S56" s="9">
        <f>IF(R56="","",SUMIFS($R$2:$R$1001,$A$2:$A$1001,A56,$E$2:$E$1001,"&lt;="&amp;E56))</f>
        <v/>
      </c>
      <c r="T56" s="5">
        <f>IF(A56="","",IF(R56="","initial",IF(ABS(R56)&lt;=ShiftThresholdDays,"unchanged",IF(R56&gt;0,"delayed","accelerated"))))</f>
        <v/>
      </c>
    </row>
    <row r="57">
      <c r="A57" s="2" t="n"/>
      <c r="B57" s="2" t="n"/>
      <c r="C57" s="2" t="n"/>
      <c r="D57" s="2" t="n"/>
      <c r="E57" s="2" t="n"/>
      <c r="F57" s="2" t="n"/>
      <c r="G57" s="3" t="n"/>
      <c r="H57" s="2" t="n"/>
      <c r="I57" s="3" t="n"/>
      <c r="J57" s="2" t="n"/>
      <c r="K57" s="2" t="n"/>
      <c r="L57" s="2" t="n"/>
      <c r="M57" s="2" t="n"/>
      <c r="N57" s="2" t="n"/>
      <c r="O57" s="2" t="n"/>
      <c r="P57" s="2" t="n"/>
      <c r="Q57" s="4">
        <f>IF(OR(A57="",E57=""),"",IF(MAXIFS($E$2:$E$1001,$A$2:$A$1001,A57,$E$2:$E$1001,"&lt;"&amp;E57)=0,"",SUMIFS($G$2:$G$1001,$A$2:$A$1001,A57,$E$2:$E$1001,MAXIFS($E$2:$E$1001,$A$2:$A$1001,A57,$E$2:$E$1001,"&lt;"&amp;E57))))</f>
        <v/>
      </c>
      <c r="R57" s="9">
        <f>IF(OR(Q57="",G57=""),"",G57-Q57)</f>
        <v/>
      </c>
      <c r="S57" s="9">
        <f>IF(R57="","",SUMIFS($R$2:$R$1001,$A$2:$A$1001,A57,$E$2:$E$1001,"&lt;="&amp;E57))</f>
        <v/>
      </c>
      <c r="T57" s="5">
        <f>IF(A57="","",IF(R57="","initial",IF(ABS(R57)&lt;=ShiftThresholdDays,"unchanged",IF(R57&gt;0,"delayed","accelerated"))))</f>
        <v/>
      </c>
    </row>
    <row r="58">
      <c r="A58" s="2" t="n"/>
      <c r="B58" s="2" t="n"/>
      <c r="C58" s="2" t="n"/>
      <c r="D58" s="2" t="n"/>
      <c r="E58" s="2" t="n"/>
      <c r="F58" s="2" t="n"/>
      <c r="G58" s="3" t="n"/>
      <c r="H58" s="2" t="n"/>
      <c r="I58" s="3" t="n"/>
      <c r="J58" s="2" t="n"/>
      <c r="K58" s="2" t="n"/>
      <c r="L58" s="2" t="n"/>
      <c r="M58" s="2" t="n"/>
      <c r="N58" s="2" t="n"/>
      <c r="O58" s="2" t="n"/>
      <c r="P58" s="2" t="n"/>
      <c r="Q58" s="4">
        <f>IF(OR(A58="",E58=""),"",IF(MAXIFS($E$2:$E$1001,$A$2:$A$1001,A58,$E$2:$E$1001,"&lt;"&amp;E58)=0,"",SUMIFS($G$2:$G$1001,$A$2:$A$1001,A58,$E$2:$E$1001,MAXIFS($E$2:$E$1001,$A$2:$A$1001,A58,$E$2:$E$1001,"&lt;"&amp;E58))))</f>
        <v/>
      </c>
      <c r="R58" s="9">
        <f>IF(OR(Q58="",G58=""),"",G58-Q58)</f>
        <v/>
      </c>
      <c r="S58" s="9">
        <f>IF(R58="","",SUMIFS($R$2:$R$1001,$A$2:$A$1001,A58,$E$2:$E$1001,"&lt;="&amp;E58))</f>
        <v/>
      </c>
      <c r="T58" s="5">
        <f>IF(A58="","",IF(R58="","initial",IF(ABS(R58)&lt;=ShiftThresholdDays,"unchanged",IF(R58&gt;0,"delayed","accelerated"))))</f>
        <v/>
      </c>
    </row>
    <row r="59">
      <c r="A59" s="2" t="n"/>
      <c r="B59" s="2" t="n"/>
      <c r="C59" s="2" t="n"/>
      <c r="D59" s="2" t="n"/>
      <c r="E59" s="2" t="n"/>
      <c r="F59" s="2" t="n"/>
      <c r="G59" s="3" t="n"/>
      <c r="H59" s="2" t="n"/>
      <c r="I59" s="3" t="n"/>
      <c r="J59" s="2" t="n"/>
      <c r="K59" s="2" t="n"/>
      <c r="L59" s="2" t="n"/>
      <c r="M59" s="2" t="n"/>
      <c r="N59" s="2" t="n"/>
      <c r="O59" s="2" t="n"/>
      <c r="P59" s="2" t="n"/>
      <c r="Q59" s="4">
        <f>IF(OR(A59="",E59=""),"",IF(MAXIFS($E$2:$E$1001,$A$2:$A$1001,A59,$E$2:$E$1001,"&lt;"&amp;E59)=0,"",SUMIFS($G$2:$G$1001,$A$2:$A$1001,A59,$E$2:$E$1001,MAXIFS($E$2:$E$1001,$A$2:$A$1001,A59,$E$2:$E$1001,"&lt;"&amp;E59))))</f>
        <v/>
      </c>
      <c r="R59" s="9">
        <f>IF(OR(Q59="",G59=""),"",G59-Q59)</f>
        <v/>
      </c>
      <c r="S59" s="9">
        <f>IF(R59="","",SUMIFS($R$2:$R$1001,$A$2:$A$1001,A59,$E$2:$E$1001,"&lt;="&amp;E59))</f>
        <v/>
      </c>
      <c r="T59" s="5">
        <f>IF(A59="","",IF(R59="","initial",IF(ABS(R59)&lt;=ShiftThresholdDays,"unchanged",IF(R59&gt;0,"delayed","accelerated"))))</f>
        <v/>
      </c>
    </row>
    <row r="60">
      <c r="A60" s="2" t="n"/>
      <c r="B60" s="2" t="n"/>
      <c r="C60" s="2" t="n"/>
      <c r="D60" s="2" t="n"/>
      <c r="E60" s="2" t="n"/>
      <c r="F60" s="2" t="n"/>
      <c r="G60" s="3" t="n"/>
      <c r="H60" s="2" t="n"/>
      <c r="I60" s="3" t="n"/>
      <c r="J60" s="2" t="n"/>
      <c r="K60" s="2" t="n"/>
      <c r="L60" s="2" t="n"/>
      <c r="M60" s="2" t="n"/>
      <c r="N60" s="2" t="n"/>
      <c r="O60" s="2" t="n"/>
      <c r="P60" s="2" t="n"/>
      <c r="Q60" s="4">
        <f>IF(OR(A60="",E60=""),"",IF(MAXIFS($E$2:$E$1001,$A$2:$A$1001,A60,$E$2:$E$1001,"&lt;"&amp;E60)=0,"",SUMIFS($G$2:$G$1001,$A$2:$A$1001,A60,$E$2:$E$1001,MAXIFS($E$2:$E$1001,$A$2:$A$1001,A60,$E$2:$E$1001,"&lt;"&amp;E60))))</f>
        <v/>
      </c>
      <c r="R60" s="9">
        <f>IF(OR(Q60="",G60=""),"",G60-Q60)</f>
        <v/>
      </c>
      <c r="S60" s="9">
        <f>IF(R60="","",SUMIFS($R$2:$R$1001,$A$2:$A$1001,A60,$E$2:$E$1001,"&lt;="&amp;E60))</f>
        <v/>
      </c>
      <c r="T60" s="5">
        <f>IF(A60="","",IF(R60="","initial",IF(ABS(R60)&lt;=ShiftThresholdDays,"unchanged",IF(R60&gt;0,"delayed","accelerated"))))</f>
        <v/>
      </c>
    </row>
    <row r="61">
      <c r="A61" s="2" t="n"/>
      <c r="B61" s="2" t="n"/>
      <c r="C61" s="2" t="n"/>
      <c r="D61" s="2" t="n"/>
      <c r="E61" s="2" t="n"/>
      <c r="F61" s="2" t="n"/>
      <c r="G61" s="3" t="n"/>
      <c r="H61" s="2" t="n"/>
      <c r="I61" s="3" t="n"/>
      <c r="J61" s="2" t="n"/>
      <c r="K61" s="2" t="n"/>
      <c r="L61" s="2" t="n"/>
      <c r="M61" s="2" t="n"/>
      <c r="N61" s="2" t="n"/>
      <c r="O61" s="2" t="n"/>
      <c r="P61" s="2" t="n"/>
      <c r="Q61" s="4">
        <f>IF(OR(A61="",E61=""),"",IF(MAXIFS($E$2:$E$1001,$A$2:$A$1001,A61,$E$2:$E$1001,"&lt;"&amp;E61)=0,"",SUMIFS($G$2:$G$1001,$A$2:$A$1001,A61,$E$2:$E$1001,MAXIFS($E$2:$E$1001,$A$2:$A$1001,A61,$E$2:$E$1001,"&lt;"&amp;E61))))</f>
        <v/>
      </c>
      <c r="R61" s="9">
        <f>IF(OR(Q61="",G61=""),"",G61-Q61)</f>
        <v/>
      </c>
      <c r="S61" s="9">
        <f>IF(R61="","",SUMIFS($R$2:$R$1001,$A$2:$A$1001,A61,$E$2:$E$1001,"&lt;="&amp;E61))</f>
        <v/>
      </c>
      <c r="T61" s="5">
        <f>IF(A61="","",IF(R61="","initial",IF(ABS(R61)&lt;=ShiftThresholdDays,"unchanged",IF(R61&gt;0,"delayed","accelerated"))))</f>
        <v/>
      </c>
    </row>
    <row r="62">
      <c r="A62" s="2" t="n"/>
      <c r="B62" s="2" t="n"/>
      <c r="C62" s="2" t="n"/>
      <c r="D62" s="2" t="n"/>
      <c r="E62" s="2" t="n"/>
      <c r="F62" s="2" t="n"/>
      <c r="G62" s="3" t="n"/>
      <c r="H62" s="2" t="n"/>
      <c r="I62" s="3" t="n"/>
      <c r="J62" s="2" t="n"/>
      <c r="K62" s="2" t="n"/>
      <c r="L62" s="2" t="n"/>
      <c r="M62" s="2" t="n"/>
      <c r="N62" s="2" t="n"/>
      <c r="O62" s="2" t="n"/>
      <c r="P62" s="2" t="n"/>
      <c r="Q62" s="4">
        <f>IF(OR(A62="",E62=""),"",IF(MAXIFS($E$2:$E$1001,$A$2:$A$1001,A62,$E$2:$E$1001,"&lt;"&amp;E62)=0,"",SUMIFS($G$2:$G$1001,$A$2:$A$1001,A62,$E$2:$E$1001,MAXIFS($E$2:$E$1001,$A$2:$A$1001,A62,$E$2:$E$1001,"&lt;"&amp;E62))))</f>
        <v/>
      </c>
      <c r="R62" s="9">
        <f>IF(OR(Q62="",G62=""),"",G62-Q62)</f>
        <v/>
      </c>
      <c r="S62" s="9">
        <f>IF(R62="","",SUMIFS($R$2:$R$1001,$A$2:$A$1001,A62,$E$2:$E$1001,"&lt;="&amp;E62))</f>
        <v/>
      </c>
      <c r="T62" s="5">
        <f>IF(A62="","",IF(R62="","initial",IF(ABS(R62)&lt;=ShiftThresholdDays,"unchanged",IF(R62&gt;0,"delayed","accelerated"))))</f>
        <v/>
      </c>
    </row>
    <row r="63">
      <c r="A63" s="2" t="n"/>
      <c r="B63" s="2" t="n"/>
      <c r="C63" s="2" t="n"/>
      <c r="D63" s="2" t="n"/>
      <c r="E63" s="2" t="n"/>
      <c r="F63" s="2" t="n"/>
      <c r="G63" s="3" t="n"/>
      <c r="H63" s="2" t="n"/>
      <c r="I63" s="3" t="n"/>
      <c r="J63" s="2" t="n"/>
      <c r="K63" s="2" t="n"/>
      <c r="L63" s="2" t="n"/>
      <c r="M63" s="2" t="n"/>
      <c r="N63" s="2" t="n"/>
      <c r="O63" s="2" t="n"/>
      <c r="P63" s="2" t="n"/>
      <c r="Q63" s="4">
        <f>IF(OR(A63="",E63=""),"",IF(MAXIFS($E$2:$E$1001,$A$2:$A$1001,A63,$E$2:$E$1001,"&lt;"&amp;E63)=0,"",SUMIFS($G$2:$G$1001,$A$2:$A$1001,A63,$E$2:$E$1001,MAXIFS($E$2:$E$1001,$A$2:$A$1001,A63,$E$2:$E$1001,"&lt;"&amp;E63))))</f>
        <v/>
      </c>
      <c r="R63" s="9">
        <f>IF(OR(Q63="",G63=""),"",G63-Q63)</f>
        <v/>
      </c>
      <c r="S63" s="9">
        <f>IF(R63="","",SUMIFS($R$2:$R$1001,$A$2:$A$1001,A63,$E$2:$E$1001,"&lt;="&amp;E63))</f>
        <v/>
      </c>
      <c r="T63" s="5">
        <f>IF(A63="","",IF(R63="","initial",IF(ABS(R63)&lt;=ShiftThresholdDays,"unchanged",IF(R63&gt;0,"delayed","accelerated"))))</f>
        <v/>
      </c>
    </row>
    <row r="64">
      <c r="A64" s="2" t="n"/>
      <c r="B64" s="2" t="n"/>
      <c r="C64" s="2" t="n"/>
      <c r="D64" s="2" t="n"/>
      <c r="E64" s="2" t="n"/>
      <c r="F64" s="2" t="n"/>
      <c r="G64" s="3" t="n"/>
      <c r="H64" s="2" t="n"/>
      <c r="I64" s="3" t="n"/>
      <c r="J64" s="2" t="n"/>
      <c r="K64" s="2" t="n"/>
      <c r="L64" s="2" t="n"/>
      <c r="M64" s="2" t="n"/>
      <c r="N64" s="2" t="n"/>
      <c r="O64" s="2" t="n"/>
      <c r="P64" s="2" t="n"/>
      <c r="Q64" s="4">
        <f>IF(OR(A64="",E64=""),"",IF(MAXIFS($E$2:$E$1001,$A$2:$A$1001,A64,$E$2:$E$1001,"&lt;"&amp;E64)=0,"",SUMIFS($G$2:$G$1001,$A$2:$A$1001,A64,$E$2:$E$1001,MAXIFS($E$2:$E$1001,$A$2:$A$1001,A64,$E$2:$E$1001,"&lt;"&amp;E64))))</f>
        <v/>
      </c>
      <c r="R64" s="9">
        <f>IF(OR(Q64="",G64=""),"",G64-Q64)</f>
        <v/>
      </c>
      <c r="S64" s="9">
        <f>IF(R64="","",SUMIFS($R$2:$R$1001,$A$2:$A$1001,A64,$E$2:$E$1001,"&lt;="&amp;E64))</f>
        <v/>
      </c>
      <c r="T64" s="5">
        <f>IF(A64="","",IF(R64="","initial",IF(ABS(R64)&lt;=ShiftThresholdDays,"unchanged",IF(R64&gt;0,"delayed","accelerated"))))</f>
        <v/>
      </c>
    </row>
    <row r="65">
      <c r="A65" s="2" t="n"/>
      <c r="B65" s="2" t="n"/>
      <c r="C65" s="2" t="n"/>
      <c r="D65" s="2" t="n"/>
      <c r="E65" s="2" t="n"/>
      <c r="F65" s="2" t="n"/>
      <c r="G65" s="3" t="n"/>
      <c r="H65" s="2" t="n"/>
      <c r="I65" s="3" t="n"/>
      <c r="J65" s="2" t="n"/>
      <c r="K65" s="2" t="n"/>
      <c r="L65" s="2" t="n"/>
      <c r="M65" s="2" t="n"/>
      <c r="N65" s="2" t="n"/>
      <c r="O65" s="2" t="n"/>
      <c r="P65" s="2" t="n"/>
      <c r="Q65" s="4">
        <f>IF(OR(A65="",E65=""),"",IF(MAXIFS($E$2:$E$1001,$A$2:$A$1001,A65,$E$2:$E$1001,"&lt;"&amp;E65)=0,"",SUMIFS($G$2:$G$1001,$A$2:$A$1001,A65,$E$2:$E$1001,MAXIFS($E$2:$E$1001,$A$2:$A$1001,A65,$E$2:$E$1001,"&lt;"&amp;E65))))</f>
        <v/>
      </c>
      <c r="R65" s="9">
        <f>IF(OR(Q65="",G65=""),"",G65-Q65)</f>
        <v/>
      </c>
      <c r="S65" s="9">
        <f>IF(R65="","",SUMIFS($R$2:$R$1001,$A$2:$A$1001,A65,$E$2:$E$1001,"&lt;="&amp;E65))</f>
        <v/>
      </c>
      <c r="T65" s="5">
        <f>IF(A65="","",IF(R65="","initial",IF(ABS(R65)&lt;=ShiftThresholdDays,"unchanged",IF(R65&gt;0,"delayed","accelerated"))))</f>
        <v/>
      </c>
    </row>
    <row r="66">
      <c r="A66" s="2" t="n"/>
      <c r="B66" s="2" t="n"/>
      <c r="C66" s="2" t="n"/>
      <c r="D66" s="2" t="n"/>
      <c r="E66" s="2" t="n"/>
      <c r="F66" s="2" t="n"/>
      <c r="G66" s="3" t="n"/>
      <c r="H66" s="2" t="n"/>
      <c r="I66" s="3" t="n"/>
      <c r="J66" s="2" t="n"/>
      <c r="K66" s="2" t="n"/>
      <c r="L66" s="2" t="n"/>
      <c r="M66" s="2" t="n"/>
      <c r="N66" s="2" t="n"/>
      <c r="O66" s="2" t="n"/>
      <c r="P66" s="2" t="n"/>
      <c r="Q66" s="4">
        <f>IF(OR(A66="",E66=""),"",IF(MAXIFS($E$2:$E$1001,$A$2:$A$1001,A66,$E$2:$E$1001,"&lt;"&amp;E66)=0,"",SUMIFS($G$2:$G$1001,$A$2:$A$1001,A66,$E$2:$E$1001,MAXIFS($E$2:$E$1001,$A$2:$A$1001,A66,$E$2:$E$1001,"&lt;"&amp;E66))))</f>
        <v/>
      </c>
      <c r="R66" s="9">
        <f>IF(OR(Q66="",G66=""),"",G66-Q66)</f>
        <v/>
      </c>
      <c r="S66" s="9">
        <f>IF(R66="","",SUMIFS($R$2:$R$1001,$A$2:$A$1001,A66,$E$2:$E$1001,"&lt;="&amp;E66))</f>
        <v/>
      </c>
      <c r="T66" s="5">
        <f>IF(A66="","",IF(R66="","initial",IF(ABS(R66)&lt;=ShiftThresholdDays,"unchanged",IF(R66&gt;0,"delayed","accelerated"))))</f>
        <v/>
      </c>
    </row>
    <row r="67">
      <c r="A67" s="2" t="n"/>
      <c r="B67" s="2" t="n"/>
      <c r="C67" s="2" t="n"/>
      <c r="D67" s="2" t="n"/>
      <c r="E67" s="2" t="n"/>
      <c r="F67" s="2" t="n"/>
      <c r="G67" s="3" t="n"/>
      <c r="H67" s="2" t="n"/>
      <c r="I67" s="3" t="n"/>
      <c r="J67" s="2" t="n"/>
      <c r="K67" s="2" t="n"/>
      <c r="L67" s="2" t="n"/>
      <c r="M67" s="2" t="n"/>
      <c r="N67" s="2" t="n"/>
      <c r="O67" s="2" t="n"/>
      <c r="P67" s="2" t="n"/>
      <c r="Q67" s="4">
        <f>IF(OR(A67="",E67=""),"",IF(MAXIFS($E$2:$E$1001,$A$2:$A$1001,A67,$E$2:$E$1001,"&lt;"&amp;E67)=0,"",SUMIFS($G$2:$G$1001,$A$2:$A$1001,A67,$E$2:$E$1001,MAXIFS($E$2:$E$1001,$A$2:$A$1001,A67,$E$2:$E$1001,"&lt;"&amp;E67))))</f>
        <v/>
      </c>
      <c r="R67" s="9">
        <f>IF(OR(Q67="",G67=""),"",G67-Q67)</f>
        <v/>
      </c>
      <c r="S67" s="9">
        <f>IF(R67="","",SUMIFS($R$2:$R$1001,$A$2:$A$1001,A67,$E$2:$E$1001,"&lt;="&amp;E67))</f>
        <v/>
      </c>
      <c r="T67" s="5">
        <f>IF(A67="","",IF(R67="","initial",IF(ABS(R67)&lt;=ShiftThresholdDays,"unchanged",IF(R67&gt;0,"delayed","accelerated"))))</f>
        <v/>
      </c>
    </row>
    <row r="68">
      <c r="A68" s="2" t="n"/>
      <c r="B68" s="2" t="n"/>
      <c r="C68" s="2" t="n"/>
      <c r="D68" s="2" t="n"/>
      <c r="E68" s="2" t="n"/>
      <c r="F68" s="2" t="n"/>
      <c r="G68" s="3" t="n"/>
      <c r="H68" s="2" t="n"/>
      <c r="I68" s="3" t="n"/>
      <c r="J68" s="2" t="n"/>
      <c r="K68" s="2" t="n"/>
      <c r="L68" s="2" t="n"/>
      <c r="M68" s="2" t="n"/>
      <c r="N68" s="2" t="n"/>
      <c r="O68" s="2" t="n"/>
      <c r="P68" s="2" t="n"/>
      <c r="Q68" s="4">
        <f>IF(OR(A68="",E68=""),"",IF(MAXIFS($E$2:$E$1001,$A$2:$A$1001,A68,$E$2:$E$1001,"&lt;"&amp;E68)=0,"",SUMIFS($G$2:$G$1001,$A$2:$A$1001,A68,$E$2:$E$1001,MAXIFS($E$2:$E$1001,$A$2:$A$1001,A68,$E$2:$E$1001,"&lt;"&amp;E68))))</f>
        <v/>
      </c>
      <c r="R68" s="9">
        <f>IF(OR(Q68="",G68=""),"",G68-Q68)</f>
        <v/>
      </c>
      <c r="S68" s="9">
        <f>IF(R68="","",SUMIFS($R$2:$R$1001,$A$2:$A$1001,A68,$E$2:$E$1001,"&lt;="&amp;E68))</f>
        <v/>
      </c>
      <c r="T68" s="5">
        <f>IF(A68="","",IF(R68="","initial",IF(ABS(R68)&lt;=ShiftThresholdDays,"unchanged",IF(R68&gt;0,"delayed","accelerated"))))</f>
        <v/>
      </c>
    </row>
    <row r="69">
      <c r="A69" s="2" t="n"/>
      <c r="B69" s="2" t="n"/>
      <c r="C69" s="2" t="n"/>
      <c r="D69" s="2" t="n"/>
      <c r="E69" s="2" t="n"/>
      <c r="F69" s="2" t="n"/>
      <c r="G69" s="3" t="n"/>
      <c r="H69" s="2" t="n"/>
      <c r="I69" s="3" t="n"/>
      <c r="J69" s="2" t="n"/>
      <c r="K69" s="2" t="n"/>
      <c r="L69" s="2" t="n"/>
      <c r="M69" s="2" t="n"/>
      <c r="N69" s="2" t="n"/>
      <c r="O69" s="2" t="n"/>
      <c r="P69" s="2" t="n"/>
      <c r="Q69" s="4">
        <f>IF(OR(A69="",E69=""),"",IF(MAXIFS($E$2:$E$1001,$A$2:$A$1001,A69,$E$2:$E$1001,"&lt;"&amp;E69)=0,"",SUMIFS($G$2:$G$1001,$A$2:$A$1001,A69,$E$2:$E$1001,MAXIFS($E$2:$E$1001,$A$2:$A$1001,A69,$E$2:$E$1001,"&lt;"&amp;E69))))</f>
        <v/>
      </c>
      <c r="R69" s="9">
        <f>IF(OR(Q69="",G69=""),"",G69-Q69)</f>
        <v/>
      </c>
      <c r="S69" s="9">
        <f>IF(R69="","",SUMIFS($R$2:$R$1001,$A$2:$A$1001,A69,$E$2:$E$1001,"&lt;="&amp;E69))</f>
        <v/>
      </c>
      <c r="T69" s="5">
        <f>IF(A69="","",IF(R69="","initial",IF(ABS(R69)&lt;=ShiftThresholdDays,"unchanged",IF(R69&gt;0,"delayed","accelerated"))))</f>
        <v/>
      </c>
    </row>
    <row r="70">
      <c r="A70" s="2" t="n"/>
      <c r="B70" s="2" t="n"/>
      <c r="C70" s="2" t="n"/>
      <c r="D70" s="2" t="n"/>
      <c r="E70" s="2" t="n"/>
      <c r="F70" s="2" t="n"/>
      <c r="G70" s="3" t="n"/>
      <c r="H70" s="2" t="n"/>
      <c r="I70" s="3" t="n"/>
      <c r="J70" s="2" t="n"/>
      <c r="K70" s="2" t="n"/>
      <c r="L70" s="2" t="n"/>
      <c r="M70" s="2" t="n"/>
      <c r="N70" s="2" t="n"/>
      <c r="O70" s="2" t="n"/>
      <c r="P70" s="2" t="n"/>
      <c r="Q70" s="4">
        <f>IF(OR(A70="",E70=""),"",IF(MAXIFS($E$2:$E$1001,$A$2:$A$1001,A70,$E$2:$E$1001,"&lt;"&amp;E70)=0,"",SUMIFS($G$2:$G$1001,$A$2:$A$1001,A70,$E$2:$E$1001,MAXIFS($E$2:$E$1001,$A$2:$A$1001,A70,$E$2:$E$1001,"&lt;"&amp;E70))))</f>
        <v/>
      </c>
      <c r="R70" s="9">
        <f>IF(OR(Q70="",G70=""),"",G70-Q70)</f>
        <v/>
      </c>
      <c r="S70" s="9">
        <f>IF(R70="","",SUMIFS($R$2:$R$1001,$A$2:$A$1001,A70,$E$2:$E$1001,"&lt;="&amp;E70))</f>
        <v/>
      </c>
      <c r="T70" s="5">
        <f>IF(A70="","",IF(R70="","initial",IF(ABS(R70)&lt;=ShiftThresholdDays,"unchanged",IF(R70&gt;0,"delayed","accelerated"))))</f>
        <v/>
      </c>
    </row>
    <row r="71">
      <c r="A71" s="2" t="n"/>
      <c r="B71" s="2" t="n"/>
      <c r="C71" s="2" t="n"/>
      <c r="D71" s="2" t="n"/>
      <c r="E71" s="2" t="n"/>
      <c r="F71" s="2" t="n"/>
      <c r="G71" s="3" t="n"/>
      <c r="H71" s="2" t="n"/>
      <c r="I71" s="3" t="n"/>
      <c r="J71" s="2" t="n"/>
      <c r="K71" s="2" t="n"/>
      <c r="L71" s="2" t="n"/>
      <c r="M71" s="2" t="n"/>
      <c r="N71" s="2" t="n"/>
      <c r="O71" s="2" t="n"/>
      <c r="P71" s="2" t="n"/>
      <c r="Q71" s="4">
        <f>IF(OR(A71="",E71=""),"",IF(MAXIFS($E$2:$E$1001,$A$2:$A$1001,A71,$E$2:$E$1001,"&lt;"&amp;E71)=0,"",SUMIFS($G$2:$G$1001,$A$2:$A$1001,A71,$E$2:$E$1001,MAXIFS($E$2:$E$1001,$A$2:$A$1001,A71,$E$2:$E$1001,"&lt;"&amp;E71))))</f>
        <v/>
      </c>
      <c r="R71" s="9">
        <f>IF(OR(Q71="",G71=""),"",G71-Q71)</f>
        <v/>
      </c>
      <c r="S71" s="9">
        <f>IF(R71="","",SUMIFS($R$2:$R$1001,$A$2:$A$1001,A71,$E$2:$E$1001,"&lt;="&amp;E71))</f>
        <v/>
      </c>
      <c r="T71" s="5">
        <f>IF(A71="","",IF(R71="","initial",IF(ABS(R71)&lt;=ShiftThresholdDays,"unchanged",IF(R71&gt;0,"delayed","accelerated"))))</f>
        <v/>
      </c>
    </row>
    <row r="72">
      <c r="A72" s="2" t="n"/>
      <c r="B72" s="2" t="n"/>
      <c r="C72" s="2" t="n"/>
      <c r="D72" s="2" t="n"/>
      <c r="E72" s="2" t="n"/>
      <c r="F72" s="2" t="n"/>
      <c r="G72" s="3" t="n"/>
      <c r="H72" s="2" t="n"/>
      <c r="I72" s="3" t="n"/>
      <c r="J72" s="2" t="n"/>
      <c r="K72" s="2" t="n"/>
      <c r="L72" s="2" t="n"/>
      <c r="M72" s="2" t="n"/>
      <c r="N72" s="2" t="n"/>
      <c r="O72" s="2" t="n"/>
      <c r="P72" s="2" t="n"/>
      <c r="Q72" s="4">
        <f>IF(OR(A72="",E72=""),"",IF(MAXIFS($E$2:$E$1001,$A$2:$A$1001,A72,$E$2:$E$1001,"&lt;"&amp;E72)=0,"",SUMIFS($G$2:$G$1001,$A$2:$A$1001,A72,$E$2:$E$1001,MAXIFS($E$2:$E$1001,$A$2:$A$1001,A72,$E$2:$E$1001,"&lt;"&amp;E72))))</f>
        <v/>
      </c>
      <c r="R72" s="9">
        <f>IF(OR(Q72="",G72=""),"",G72-Q72)</f>
        <v/>
      </c>
      <c r="S72" s="9">
        <f>IF(R72="","",SUMIFS($R$2:$R$1001,$A$2:$A$1001,A72,$E$2:$E$1001,"&lt;="&amp;E72))</f>
        <v/>
      </c>
      <c r="T72" s="5">
        <f>IF(A72="","",IF(R72="","initial",IF(ABS(R72)&lt;=ShiftThresholdDays,"unchanged",IF(R72&gt;0,"delayed","accelerated"))))</f>
        <v/>
      </c>
    </row>
    <row r="73">
      <c r="A73" s="2" t="n"/>
      <c r="B73" s="2" t="n"/>
      <c r="C73" s="2" t="n"/>
      <c r="D73" s="2" t="n"/>
      <c r="E73" s="2" t="n"/>
      <c r="F73" s="2" t="n"/>
      <c r="G73" s="3" t="n"/>
      <c r="H73" s="2" t="n"/>
      <c r="I73" s="3" t="n"/>
      <c r="J73" s="2" t="n"/>
      <c r="K73" s="2" t="n"/>
      <c r="L73" s="2" t="n"/>
      <c r="M73" s="2" t="n"/>
      <c r="N73" s="2" t="n"/>
      <c r="O73" s="2" t="n"/>
      <c r="P73" s="2" t="n"/>
      <c r="Q73" s="4">
        <f>IF(OR(A73="",E73=""),"",IF(MAXIFS($E$2:$E$1001,$A$2:$A$1001,A73,$E$2:$E$1001,"&lt;"&amp;E73)=0,"",SUMIFS($G$2:$G$1001,$A$2:$A$1001,A73,$E$2:$E$1001,MAXIFS($E$2:$E$1001,$A$2:$A$1001,A73,$E$2:$E$1001,"&lt;"&amp;E73))))</f>
        <v/>
      </c>
      <c r="R73" s="9">
        <f>IF(OR(Q73="",G73=""),"",G73-Q73)</f>
        <v/>
      </c>
      <c r="S73" s="9">
        <f>IF(R73="","",SUMIFS($R$2:$R$1001,$A$2:$A$1001,A73,$E$2:$E$1001,"&lt;="&amp;E73))</f>
        <v/>
      </c>
      <c r="T73" s="5">
        <f>IF(A73="","",IF(R73="","initial",IF(ABS(R73)&lt;=ShiftThresholdDays,"unchanged",IF(R73&gt;0,"delayed","accelerated"))))</f>
        <v/>
      </c>
    </row>
    <row r="74">
      <c r="A74" s="2" t="n"/>
      <c r="B74" s="2" t="n"/>
      <c r="C74" s="2" t="n"/>
      <c r="D74" s="2" t="n"/>
      <c r="E74" s="2" t="n"/>
      <c r="F74" s="2" t="n"/>
      <c r="G74" s="3" t="n"/>
      <c r="H74" s="2" t="n"/>
      <c r="I74" s="3" t="n"/>
      <c r="J74" s="2" t="n"/>
      <c r="K74" s="2" t="n"/>
      <c r="L74" s="2" t="n"/>
      <c r="M74" s="2" t="n"/>
      <c r="N74" s="2" t="n"/>
      <c r="O74" s="2" t="n"/>
      <c r="P74" s="2" t="n"/>
      <c r="Q74" s="4">
        <f>IF(OR(A74="",E74=""),"",IF(MAXIFS($E$2:$E$1001,$A$2:$A$1001,A74,$E$2:$E$1001,"&lt;"&amp;E74)=0,"",SUMIFS($G$2:$G$1001,$A$2:$A$1001,A74,$E$2:$E$1001,MAXIFS($E$2:$E$1001,$A$2:$A$1001,A74,$E$2:$E$1001,"&lt;"&amp;E74))))</f>
        <v/>
      </c>
      <c r="R74" s="9">
        <f>IF(OR(Q74="",G74=""),"",G74-Q74)</f>
        <v/>
      </c>
      <c r="S74" s="9">
        <f>IF(R74="","",SUMIFS($R$2:$R$1001,$A$2:$A$1001,A74,$E$2:$E$1001,"&lt;="&amp;E74))</f>
        <v/>
      </c>
      <c r="T74" s="5">
        <f>IF(A74="","",IF(R74="","initial",IF(ABS(R74)&lt;=ShiftThresholdDays,"unchanged",IF(R74&gt;0,"delayed","accelerated"))))</f>
        <v/>
      </c>
    </row>
    <row r="75">
      <c r="A75" s="2" t="n"/>
      <c r="B75" s="2" t="n"/>
      <c r="C75" s="2" t="n"/>
      <c r="D75" s="2" t="n"/>
      <c r="E75" s="2" t="n"/>
      <c r="F75" s="2" t="n"/>
      <c r="G75" s="3" t="n"/>
      <c r="H75" s="2" t="n"/>
      <c r="I75" s="3" t="n"/>
      <c r="J75" s="2" t="n"/>
      <c r="K75" s="2" t="n"/>
      <c r="L75" s="2" t="n"/>
      <c r="M75" s="2" t="n"/>
      <c r="N75" s="2" t="n"/>
      <c r="O75" s="2" t="n"/>
      <c r="P75" s="2" t="n"/>
      <c r="Q75" s="4">
        <f>IF(OR(A75="",E75=""),"",IF(MAXIFS($E$2:$E$1001,$A$2:$A$1001,A75,$E$2:$E$1001,"&lt;"&amp;E75)=0,"",SUMIFS($G$2:$G$1001,$A$2:$A$1001,A75,$E$2:$E$1001,MAXIFS($E$2:$E$1001,$A$2:$A$1001,A75,$E$2:$E$1001,"&lt;"&amp;E75))))</f>
        <v/>
      </c>
      <c r="R75" s="9">
        <f>IF(OR(Q75="",G75=""),"",G75-Q75)</f>
        <v/>
      </c>
      <c r="S75" s="9">
        <f>IF(R75="","",SUMIFS($R$2:$R$1001,$A$2:$A$1001,A75,$E$2:$E$1001,"&lt;="&amp;E75))</f>
        <v/>
      </c>
      <c r="T75" s="5">
        <f>IF(A75="","",IF(R75="","initial",IF(ABS(R75)&lt;=ShiftThresholdDays,"unchanged",IF(R75&gt;0,"delayed","accelerated"))))</f>
        <v/>
      </c>
    </row>
    <row r="76">
      <c r="A76" s="2" t="n"/>
      <c r="B76" s="2" t="n"/>
      <c r="C76" s="2" t="n"/>
      <c r="D76" s="2" t="n"/>
      <c r="E76" s="2" t="n"/>
      <c r="F76" s="2" t="n"/>
      <c r="G76" s="3" t="n"/>
      <c r="H76" s="2" t="n"/>
      <c r="I76" s="3" t="n"/>
      <c r="J76" s="2" t="n"/>
      <c r="K76" s="2" t="n"/>
      <c r="L76" s="2" t="n"/>
      <c r="M76" s="2" t="n"/>
      <c r="N76" s="2" t="n"/>
      <c r="O76" s="2" t="n"/>
      <c r="P76" s="2" t="n"/>
      <c r="Q76" s="4">
        <f>IF(OR(A76="",E76=""),"",IF(MAXIFS($E$2:$E$1001,$A$2:$A$1001,A76,$E$2:$E$1001,"&lt;"&amp;E76)=0,"",SUMIFS($G$2:$G$1001,$A$2:$A$1001,A76,$E$2:$E$1001,MAXIFS($E$2:$E$1001,$A$2:$A$1001,A76,$E$2:$E$1001,"&lt;"&amp;E76))))</f>
        <v/>
      </c>
      <c r="R76" s="9">
        <f>IF(OR(Q76="",G76=""),"",G76-Q76)</f>
        <v/>
      </c>
      <c r="S76" s="9">
        <f>IF(R76="","",SUMIFS($R$2:$R$1001,$A$2:$A$1001,A76,$E$2:$E$1001,"&lt;="&amp;E76))</f>
        <v/>
      </c>
      <c r="T76" s="5">
        <f>IF(A76="","",IF(R76="","initial",IF(ABS(R76)&lt;=ShiftThresholdDays,"unchanged",IF(R76&gt;0,"delayed","accelerated"))))</f>
        <v/>
      </c>
    </row>
    <row r="77">
      <c r="A77" s="2" t="n"/>
      <c r="B77" s="2" t="n"/>
      <c r="C77" s="2" t="n"/>
      <c r="D77" s="2" t="n"/>
      <c r="E77" s="2" t="n"/>
      <c r="F77" s="2" t="n"/>
      <c r="G77" s="3" t="n"/>
      <c r="H77" s="2" t="n"/>
      <c r="I77" s="3" t="n"/>
      <c r="J77" s="2" t="n"/>
      <c r="K77" s="2" t="n"/>
      <c r="L77" s="2" t="n"/>
      <c r="M77" s="2" t="n"/>
      <c r="N77" s="2" t="n"/>
      <c r="O77" s="2" t="n"/>
      <c r="P77" s="2" t="n"/>
      <c r="Q77" s="4">
        <f>IF(OR(A77="",E77=""),"",IF(MAXIFS($E$2:$E$1001,$A$2:$A$1001,A77,$E$2:$E$1001,"&lt;"&amp;E77)=0,"",SUMIFS($G$2:$G$1001,$A$2:$A$1001,A77,$E$2:$E$1001,MAXIFS($E$2:$E$1001,$A$2:$A$1001,A77,$E$2:$E$1001,"&lt;"&amp;E77))))</f>
        <v/>
      </c>
      <c r="R77" s="9">
        <f>IF(OR(Q77="",G77=""),"",G77-Q77)</f>
        <v/>
      </c>
      <c r="S77" s="9">
        <f>IF(R77="","",SUMIFS($R$2:$R$1001,$A$2:$A$1001,A77,$E$2:$E$1001,"&lt;="&amp;E77))</f>
        <v/>
      </c>
      <c r="T77" s="5">
        <f>IF(A77="","",IF(R77="","initial",IF(ABS(R77)&lt;=ShiftThresholdDays,"unchanged",IF(R77&gt;0,"delayed","accelerated"))))</f>
        <v/>
      </c>
    </row>
    <row r="78">
      <c r="A78" s="2" t="n"/>
      <c r="B78" s="2" t="n"/>
      <c r="C78" s="2" t="n"/>
      <c r="D78" s="2" t="n"/>
      <c r="E78" s="2" t="n"/>
      <c r="F78" s="2" t="n"/>
      <c r="G78" s="3" t="n"/>
      <c r="H78" s="2" t="n"/>
      <c r="I78" s="3" t="n"/>
      <c r="J78" s="2" t="n"/>
      <c r="K78" s="2" t="n"/>
      <c r="L78" s="2" t="n"/>
      <c r="M78" s="2" t="n"/>
      <c r="N78" s="2" t="n"/>
      <c r="O78" s="2" t="n"/>
      <c r="P78" s="2" t="n"/>
      <c r="Q78" s="4">
        <f>IF(OR(A78="",E78=""),"",IF(MAXIFS($E$2:$E$1001,$A$2:$A$1001,A78,$E$2:$E$1001,"&lt;"&amp;E78)=0,"",SUMIFS($G$2:$G$1001,$A$2:$A$1001,A78,$E$2:$E$1001,MAXIFS($E$2:$E$1001,$A$2:$A$1001,A78,$E$2:$E$1001,"&lt;"&amp;E78))))</f>
        <v/>
      </c>
      <c r="R78" s="9">
        <f>IF(OR(Q78="",G78=""),"",G78-Q78)</f>
        <v/>
      </c>
      <c r="S78" s="9">
        <f>IF(R78="","",SUMIFS($R$2:$R$1001,$A$2:$A$1001,A78,$E$2:$E$1001,"&lt;="&amp;E78))</f>
        <v/>
      </c>
      <c r="T78" s="5">
        <f>IF(A78="","",IF(R78="","initial",IF(ABS(R78)&lt;=ShiftThresholdDays,"unchanged",IF(R78&gt;0,"delayed","accelerated"))))</f>
        <v/>
      </c>
    </row>
    <row r="79">
      <c r="A79" s="2" t="n"/>
      <c r="B79" s="2" t="n"/>
      <c r="C79" s="2" t="n"/>
      <c r="D79" s="2" t="n"/>
      <c r="E79" s="2" t="n"/>
      <c r="F79" s="2" t="n"/>
      <c r="G79" s="3" t="n"/>
      <c r="H79" s="2" t="n"/>
      <c r="I79" s="3" t="n"/>
      <c r="J79" s="2" t="n"/>
      <c r="K79" s="2" t="n"/>
      <c r="L79" s="2" t="n"/>
      <c r="M79" s="2" t="n"/>
      <c r="N79" s="2" t="n"/>
      <c r="O79" s="2" t="n"/>
      <c r="P79" s="2" t="n"/>
      <c r="Q79" s="4">
        <f>IF(OR(A79="",E79=""),"",IF(MAXIFS($E$2:$E$1001,$A$2:$A$1001,A79,$E$2:$E$1001,"&lt;"&amp;E79)=0,"",SUMIFS($G$2:$G$1001,$A$2:$A$1001,A79,$E$2:$E$1001,MAXIFS($E$2:$E$1001,$A$2:$A$1001,A79,$E$2:$E$1001,"&lt;"&amp;E79))))</f>
        <v/>
      </c>
      <c r="R79" s="9">
        <f>IF(OR(Q79="",G79=""),"",G79-Q79)</f>
        <v/>
      </c>
      <c r="S79" s="9">
        <f>IF(R79="","",SUMIFS($R$2:$R$1001,$A$2:$A$1001,A79,$E$2:$E$1001,"&lt;="&amp;E79))</f>
        <v/>
      </c>
      <c r="T79" s="5">
        <f>IF(A79="","",IF(R79="","initial",IF(ABS(R79)&lt;=ShiftThresholdDays,"unchanged",IF(R79&gt;0,"delayed","accelerated"))))</f>
        <v/>
      </c>
    </row>
    <row r="80">
      <c r="A80" s="2" t="n"/>
      <c r="B80" s="2" t="n"/>
      <c r="C80" s="2" t="n"/>
      <c r="D80" s="2" t="n"/>
      <c r="E80" s="2" t="n"/>
      <c r="F80" s="2" t="n"/>
      <c r="G80" s="3" t="n"/>
      <c r="H80" s="2" t="n"/>
      <c r="I80" s="3" t="n"/>
      <c r="J80" s="2" t="n"/>
      <c r="K80" s="2" t="n"/>
      <c r="L80" s="2" t="n"/>
      <c r="M80" s="2" t="n"/>
      <c r="N80" s="2" t="n"/>
      <c r="O80" s="2" t="n"/>
      <c r="P80" s="2" t="n"/>
      <c r="Q80" s="4">
        <f>IF(OR(A80="",E80=""),"",IF(MAXIFS($E$2:$E$1001,$A$2:$A$1001,A80,$E$2:$E$1001,"&lt;"&amp;E80)=0,"",SUMIFS($G$2:$G$1001,$A$2:$A$1001,A80,$E$2:$E$1001,MAXIFS($E$2:$E$1001,$A$2:$A$1001,A80,$E$2:$E$1001,"&lt;"&amp;E80))))</f>
        <v/>
      </c>
      <c r="R80" s="9">
        <f>IF(OR(Q80="",G80=""),"",G80-Q80)</f>
        <v/>
      </c>
      <c r="S80" s="9">
        <f>IF(R80="","",SUMIFS($R$2:$R$1001,$A$2:$A$1001,A80,$E$2:$E$1001,"&lt;="&amp;E80))</f>
        <v/>
      </c>
      <c r="T80" s="5">
        <f>IF(A80="","",IF(R80="","initial",IF(ABS(R80)&lt;=ShiftThresholdDays,"unchanged",IF(R80&gt;0,"delayed","accelerated"))))</f>
        <v/>
      </c>
    </row>
    <row r="81">
      <c r="A81" s="2" t="n"/>
      <c r="B81" s="2" t="n"/>
      <c r="C81" s="2" t="n"/>
      <c r="D81" s="2" t="n"/>
      <c r="E81" s="2" t="n"/>
      <c r="F81" s="2" t="n"/>
      <c r="G81" s="3" t="n"/>
      <c r="H81" s="2" t="n"/>
      <c r="I81" s="3" t="n"/>
      <c r="J81" s="2" t="n"/>
      <c r="K81" s="2" t="n"/>
      <c r="L81" s="2" t="n"/>
      <c r="M81" s="2" t="n"/>
      <c r="N81" s="2" t="n"/>
      <c r="O81" s="2" t="n"/>
      <c r="P81" s="2" t="n"/>
      <c r="Q81" s="4">
        <f>IF(OR(A81="",E81=""),"",IF(MAXIFS($E$2:$E$1001,$A$2:$A$1001,A81,$E$2:$E$1001,"&lt;"&amp;E81)=0,"",SUMIFS($G$2:$G$1001,$A$2:$A$1001,A81,$E$2:$E$1001,MAXIFS($E$2:$E$1001,$A$2:$A$1001,A81,$E$2:$E$1001,"&lt;"&amp;E81))))</f>
        <v/>
      </c>
      <c r="R81" s="9">
        <f>IF(OR(Q81="",G81=""),"",G81-Q81)</f>
        <v/>
      </c>
      <c r="S81" s="9">
        <f>IF(R81="","",SUMIFS($R$2:$R$1001,$A$2:$A$1001,A81,$E$2:$E$1001,"&lt;="&amp;E81))</f>
        <v/>
      </c>
      <c r="T81" s="5">
        <f>IF(A81="","",IF(R81="","initial",IF(ABS(R81)&lt;=ShiftThresholdDays,"unchanged",IF(R81&gt;0,"delayed","accelerated"))))</f>
        <v/>
      </c>
    </row>
    <row r="82">
      <c r="A82" s="2" t="n"/>
      <c r="B82" s="2" t="n"/>
      <c r="C82" s="2" t="n"/>
      <c r="D82" s="2" t="n"/>
      <c r="E82" s="2" t="n"/>
      <c r="F82" s="2" t="n"/>
      <c r="G82" s="3" t="n"/>
      <c r="H82" s="2" t="n"/>
      <c r="I82" s="3" t="n"/>
      <c r="J82" s="2" t="n"/>
      <c r="K82" s="2" t="n"/>
      <c r="L82" s="2" t="n"/>
      <c r="M82" s="2" t="n"/>
      <c r="N82" s="2" t="n"/>
      <c r="O82" s="2" t="n"/>
      <c r="P82" s="2" t="n"/>
      <c r="Q82" s="4">
        <f>IF(OR(A82="",E82=""),"",IF(MAXIFS($E$2:$E$1001,$A$2:$A$1001,A82,$E$2:$E$1001,"&lt;"&amp;E82)=0,"",SUMIFS($G$2:$G$1001,$A$2:$A$1001,A82,$E$2:$E$1001,MAXIFS($E$2:$E$1001,$A$2:$A$1001,A82,$E$2:$E$1001,"&lt;"&amp;E82))))</f>
        <v/>
      </c>
      <c r="R82" s="9">
        <f>IF(OR(Q82="",G82=""),"",G82-Q82)</f>
        <v/>
      </c>
      <c r="S82" s="9">
        <f>IF(R82="","",SUMIFS($R$2:$R$1001,$A$2:$A$1001,A82,$E$2:$E$1001,"&lt;="&amp;E82))</f>
        <v/>
      </c>
      <c r="T82" s="5">
        <f>IF(A82="","",IF(R82="","initial",IF(ABS(R82)&lt;=ShiftThresholdDays,"unchanged",IF(R82&gt;0,"delayed","accelerated"))))</f>
        <v/>
      </c>
    </row>
    <row r="83">
      <c r="A83" s="2" t="n"/>
      <c r="B83" s="2" t="n"/>
      <c r="C83" s="2" t="n"/>
      <c r="D83" s="2" t="n"/>
      <c r="E83" s="2" t="n"/>
      <c r="F83" s="2" t="n"/>
      <c r="G83" s="3" t="n"/>
      <c r="H83" s="2" t="n"/>
      <c r="I83" s="3" t="n"/>
      <c r="J83" s="2" t="n"/>
      <c r="K83" s="2" t="n"/>
      <c r="L83" s="2" t="n"/>
      <c r="M83" s="2" t="n"/>
      <c r="N83" s="2" t="n"/>
      <c r="O83" s="2" t="n"/>
      <c r="P83" s="2" t="n"/>
      <c r="Q83" s="4">
        <f>IF(OR(A83="",E83=""),"",IF(MAXIFS($E$2:$E$1001,$A$2:$A$1001,A83,$E$2:$E$1001,"&lt;"&amp;E83)=0,"",SUMIFS($G$2:$G$1001,$A$2:$A$1001,A83,$E$2:$E$1001,MAXIFS($E$2:$E$1001,$A$2:$A$1001,A83,$E$2:$E$1001,"&lt;"&amp;E83))))</f>
        <v/>
      </c>
      <c r="R83" s="9">
        <f>IF(OR(Q83="",G83=""),"",G83-Q83)</f>
        <v/>
      </c>
      <c r="S83" s="9">
        <f>IF(R83="","",SUMIFS($R$2:$R$1001,$A$2:$A$1001,A83,$E$2:$E$1001,"&lt;="&amp;E83))</f>
        <v/>
      </c>
      <c r="T83" s="5">
        <f>IF(A83="","",IF(R83="","initial",IF(ABS(R83)&lt;=ShiftThresholdDays,"unchanged",IF(R83&gt;0,"delayed","accelerated"))))</f>
        <v/>
      </c>
    </row>
    <row r="84">
      <c r="A84" s="2" t="n"/>
      <c r="B84" s="2" t="n"/>
      <c r="C84" s="2" t="n"/>
      <c r="D84" s="2" t="n"/>
      <c r="E84" s="2" t="n"/>
      <c r="F84" s="2" t="n"/>
      <c r="G84" s="3" t="n"/>
      <c r="H84" s="2" t="n"/>
      <c r="I84" s="3" t="n"/>
      <c r="J84" s="2" t="n"/>
      <c r="K84" s="2" t="n"/>
      <c r="L84" s="2" t="n"/>
      <c r="M84" s="2" t="n"/>
      <c r="N84" s="2" t="n"/>
      <c r="O84" s="2" t="n"/>
      <c r="P84" s="2" t="n"/>
      <c r="Q84" s="4">
        <f>IF(OR(A84="",E84=""),"",IF(MAXIFS($E$2:$E$1001,$A$2:$A$1001,A84,$E$2:$E$1001,"&lt;"&amp;E84)=0,"",SUMIFS($G$2:$G$1001,$A$2:$A$1001,A84,$E$2:$E$1001,MAXIFS($E$2:$E$1001,$A$2:$A$1001,A84,$E$2:$E$1001,"&lt;"&amp;E84))))</f>
        <v/>
      </c>
      <c r="R84" s="9">
        <f>IF(OR(Q84="",G84=""),"",G84-Q84)</f>
        <v/>
      </c>
      <c r="S84" s="9">
        <f>IF(R84="","",SUMIFS($R$2:$R$1001,$A$2:$A$1001,A84,$E$2:$E$1001,"&lt;="&amp;E84))</f>
        <v/>
      </c>
      <c r="T84" s="5">
        <f>IF(A84="","",IF(R84="","initial",IF(ABS(R84)&lt;=ShiftThresholdDays,"unchanged",IF(R84&gt;0,"delayed","accelerated"))))</f>
        <v/>
      </c>
    </row>
    <row r="85">
      <c r="A85" s="2" t="n"/>
      <c r="B85" s="2" t="n"/>
      <c r="C85" s="2" t="n"/>
      <c r="D85" s="2" t="n"/>
      <c r="E85" s="2" t="n"/>
      <c r="F85" s="2" t="n"/>
      <c r="G85" s="3" t="n"/>
      <c r="H85" s="2" t="n"/>
      <c r="I85" s="3" t="n"/>
      <c r="J85" s="2" t="n"/>
      <c r="K85" s="2" t="n"/>
      <c r="L85" s="2" t="n"/>
      <c r="M85" s="2" t="n"/>
      <c r="N85" s="2" t="n"/>
      <c r="O85" s="2" t="n"/>
      <c r="P85" s="2" t="n"/>
      <c r="Q85" s="4">
        <f>IF(OR(A85="",E85=""),"",IF(MAXIFS($E$2:$E$1001,$A$2:$A$1001,A85,$E$2:$E$1001,"&lt;"&amp;E85)=0,"",SUMIFS($G$2:$G$1001,$A$2:$A$1001,A85,$E$2:$E$1001,MAXIFS($E$2:$E$1001,$A$2:$A$1001,A85,$E$2:$E$1001,"&lt;"&amp;E85))))</f>
        <v/>
      </c>
      <c r="R85" s="9">
        <f>IF(OR(Q85="",G85=""),"",G85-Q85)</f>
        <v/>
      </c>
      <c r="S85" s="9">
        <f>IF(R85="","",SUMIFS($R$2:$R$1001,$A$2:$A$1001,A85,$E$2:$E$1001,"&lt;="&amp;E85))</f>
        <v/>
      </c>
      <c r="T85" s="5">
        <f>IF(A85="","",IF(R85="","initial",IF(ABS(R85)&lt;=ShiftThresholdDays,"unchanged",IF(R85&gt;0,"delayed","accelerated"))))</f>
        <v/>
      </c>
    </row>
    <row r="86">
      <c r="A86" s="2" t="n"/>
      <c r="B86" s="2" t="n"/>
      <c r="C86" s="2" t="n"/>
      <c r="D86" s="2" t="n"/>
      <c r="E86" s="2" t="n"/>
      <c r="F86" s="2" t="n"/>
      <c r="G86" s="3" t="n"/>
      <c r="H86" s="2" t="n"/>
      <c r="I86" s="3" t="n"/>
      <c r="J86" s="2" t="n"/>
      <c r="K86" s="2" t="n"/>
      <c r="L86" s="2" t="n"/>
      <c r="M86" s="2" t="n"/>
      <c r="N86" s="2" t="n"/>
      <c r="O86" s="2" t="n"/>
      <c r="P86" s="2" t="n"/>
      <c r="Q86" s="4">
        <f>IF(OR(A86="",E86=""),"",IF(MAXIFS($E$2:$E$1001,$A$2:$A$1001,A86,$E$2:$E$1001,"&lt;"&amp;E86)=0,"",SUMIFS($G$2:$G$1001,$A$2:$A$1001,A86,$E$2:$E$1001,MAXIFS($E$2:$E$1001,$A$2:$A$1001,A86,$E$2:$E$1001,"&lt;"&amp;E86))))</f>
        <v/>
      </c>
      <c r="R86" s="9">
        <f>IF(OR(Q86="",G86=""),"",G86-Q86)</f>
        <v/>
      </c>
      <c r="S86" s="9">
        <f>IF(R86="","",SUMIFS($R$2:$R$1001,$A$2:$A$1001,A86,$E$2:$E$1001,"&lt;="&amp;E86))</f>
        <v/>
      </c>
      <c r="T86" s="5">
        <f>IF(A86="","",IF(R86="","initial",IF(ABS(R86)&lt;=ShiftThresholdDays,"unchanged",IF(R86&gt;0,"delayed","accelerated"))))</f>
        <v/>
      </c>
    </row>
    <row r="87">
      <c r="A87" s="2" t="n"/>
      <c r="B87" s="2" t="n"/>
      <c r="C87" s="2" t="n"/>
      <c r="D87" s="2" t="n"/>
      <c r="E87" s="2" t="n"/>
      <c r="F87" s="2" t="n"/>
      <c r="G87" s="3" t="n"/>
      <c r="H87" s="2" t="n"/>
      <c r="I87" s="3" t="n"/>
      <c r="J87" s="2" t="n"/>
      <c r="K87" s="2" t="n"/>
      <c r="L87" s="2" t="n"/>
      <c r="M87" s="2" t="n"/>
      <c r="N87" s="2" t="n"/>
      <c r="O87" s="2" t="n"/>
      <c r="P87" s="2" t="n"/>
      <c r="Q87" s="4">
        <f>IF(OR(A87="",E87=""),"",IF(MAXIFS($E$2:$E$1001,$A$2:$A$1001,A87,$E$2:$E$1001,"&lt;"&amp;E87)=0,"",SUMIFS($G$2:$G$1001,$A$2:$A$1001,A87,$E$2:$E$1001,MAXIFS($E$2:$E$1001,$A$2:$A$1001,A87,$E$2:$E$1001,"&lt;"&amp;E87))))</f>
        <v/>
      </c>
      <c r="R87" s="9">
        <f>IF(OR(Q87="",G87=""),"",G87-Q87)</f>
        <v/>
      </c>
      <c r="S87" s="9">
        <f>IF(R87="","",SUMIFS($R$2:$R$1001,$A$2:$A$1001,A87,$E$2:$E$1001,"&lt;="&amp;E87))</f>
        <v/>
      </c>
      <c r="T87" s="5">
        <f>IF(A87="","",IF(R87="","initial",IF(ABS(R87)&lt;=ShiftThresholdDays,"unchanged",IF(R87&gt;0,"delayed","accelerated"))))</f>
        <v/>
      </c>
    </row>
    <row r="88">
      <c r="A88" s="2" t="n"/>
      <c r="B88" s="2" t="n"/>
      <c r="C88" s="2" t="n"/>
      <c r="D88" s="2" t="n"/>
      <c r="E88" s="2" t="n"/>
      <c r="F88" s="2" t="n"/>
      <c r="G88" s="3" t="n"/>
      <c r="H88" s="2" t="n"/>
      <c r="I88" s="3" t="n"/>
      <c r="J88" s="2" t="n"/>
      <c r="K88" s="2" t="n"/>
      <c r="L88" s="2" t="n"/>
      <c r="M88" s="2" t="n"/>
      <c r="N88" s="2" t="n"/>
      <c r="O88" s="2" t="n"/>
      <c r="P88" s="2" t="n"/>
      <c r="Q88" s="4">
        <f>IF(OR(A88="",E88=""),"",IF(MAXIFS($E$2:$E$1001,$A$2:$A$1001,A88,$E$2:$E$1001,"&lt;"&amp;E88)=0,"",SUMIFS($G$2:$G$1001,$A$2:$A$1001,A88,$E$2:$E$1001,MAXIFS($E$2:$E$1001,$A$2:$A$1001,A88,$E$2:$E$1001,"&lt;"&amp;E88))))</f>
        <v/>
      </c>
      <c r="R88" s="9">
        <f>IF(OR(Q88="",G88=""),"",G88-Q88)</f>
        <v/>
      </c>
      <c r="S88" s="9">
        <f>IF(R88="","",SUMIFS($R$2:$R$1001,$A$2:$A$1001,A88,$E$2:$E$1001,"&lt;="&amp;E88))</f>
        <v/>
      </c>
      <c r="T88" s="5">
        <f>IF(A88="","",IF(R88="","initial",IF(ABS(R88)&lt;=ShiftThresholdDays,"unchanged",IF(R88&gt;0,"delayed","accelerated"))))</f>
        <v/>
      </c>
    </row>
    <row r="89">
      <c r="A89" s="2" t="n"/>
      <c r="B89" s="2" t="n"/>
      <c r="C89" s="2" t="n"/>
      <c r="D89" s="2" t="n"/>
      <c r="E89" s="2" t="n"/>
      <c r="F89" s="2" t="n"/>
      <c r="G89" s="3" t="n"/>
      <c r="H89" s="2" t="n"/>
      <c r="I89" s="3" t="n"/>
      <c r="J89" s="2" t="n"/>
      <c r="K89" s="2" t="n"/>
      <c r="L89" s="2" t="n"/>
      <c r="M89" s="2" t="n"/>
      <c r="N89" s="2" t="n"/>
      <c r="O89" s="2" t="n"/>
      <c r="P89" s="2" t="n"/>
      <c r="Q89" s="4">
        <f>IF(OR(A89="",E89=""),"",IF(MAXIFS($E$2:$E$1001,$A$2:$A$1001,A89,$E$2:$E$1001,"&lt;"&amp;E89)=0,"",SUMIFS($G$2:$G$1001,$A$2:$A$1001,A89,$E$2:$E$1001,MAXIFS($E$2:$E$1001,$A$2:$A$1001,A89,$E$2:$E$1001,"&lt;"&amp;E89))))</f>
        <v/>
      </c>
      <c r="R89" s="9">
        <f>IF(OR(Q89="",G89=""),"",G89-Q89)</f>
        <v/>
      </c>
      <c r="S89" s="9">
        <f>IF(R89="","",SUMIFS($R$2:$R$1001,$A$2:$A$1001,A89,$E$2:$E$1001,"&lt;="&amp;E89))</f>
        <v/>
      </c>
      <c r="T89" s="5">
        <f>IF(A89="","",IF(R89="","initial",IF(ABS(R89)&lt;=ShiftThresholdDays,"unchanged",IF(R89&gt;0,"delayed","accelerated"))))</f>
        <v/>
      </c>
    </row>
    <row r="90">
      <c r="A90" s="2" t="n"/>
      <c r="B90" s="2" t="n"/>
      <c r="C90" s="2" t="n"/>
      <c r="D90" s="2" t="n"/>
      <c r="E90" s="2" t="n"/>
      <c r="F90" s="2" t="n"/>
      <c r="G90" s="3" t="n"/>
      <c r="H90" s="2" t="n"/>
      <c r="I90" s="3" t="n"/>
      <c r="J90" s="2" t="n"/>
      <c r="K90" s="2" t="n"/>
      <c r="L90" s="2" t="n"/>
      <c r="M90" s="2" t="n"/>
      <c r="N90" s="2" t="n"/>
      <c r="O90" s="2" t="n"/>
      <c r="P90" s="2" t="n"/>
      <c r="Q90" s="4">
        <f>IF(OR(A90="",E90=""),"",IF(MAXIFS($E$2:$E$1001,$A$2:$A$1001,A90,$E$2:$E$1001,"&lt;"&amp;E90)=0,"",SUMIFS($G$2:$G$1001,$A$2:$A$1001,A90,$E$2:$E$1001,MAXIFS($E$2:$E$1001,$A$2:$A$1001,A90,$E$2:$E$1001,"&lt;"&amp;E90))))</f>
        <v/>
      </c>
      <c r="R90" s="9">
        <f>IF(OR(Q90="",G90=""),"",G90-Q90)</f>
        <v/>
      </c>
      <c r="S90" s="9">
        <f>IF(R90="","",SUMIFS($R$2:$R$1001,$A$2:$A$1001,A90,$E$2:$E$1001,"&lt;="&amp;E90))</f>
        <v/>
      </c>
      <c r="T90" s="5">
        <f>IF(A90="","",IF(R90="","initial",IF(ABS(R90)&lt;=ShiftThresholdDays,"unchanged",IF(R90&gt;0,"delayed","accelerated"))))</f>
        <v/>
      </c>
    </row>
    <row r="91">
      <c r="A91" s="2" t="n"/>
      <c r="B91" s="2" t="n"/>
      <c r="C91" s="2" t="n"/>
      <c r="D91" s="2" t="n"/>
      <c r="E91" s="2" t="n"/>
      <c r="F91" s="2" t="n"/>
      <c r="G91" s="3" t="n"/>
      <c r="H91" s="2" t="n"/>
      <c r="I91" s="3" t="n"/>
      <c r="J91" s="2" t="n"/>
      <c r="K91" s="2" t="n"/>
      <c r="L91" s="2" t="n"/>
      <c r="M91" s="2" t="n"/>
      <c r="N91" s="2" t="n"/>
      <c r="O91" s="2" t="n"/>
      <c r="P91" s="2" t="n"/>
      <c r="Q91" s="4">
        <f>IF(OR(A91="",E91=""),"",IF(MAXIFS($E$2:$E$1001,$A$2:$A$1001,A91,$E$2:$E$1001,"&lt;"&amp;E91)=0,"",SUMIFS($G$2:$G$1001,$A$2:$A$1001,A91,$E$2:$E$1001,MAXIFS($E$2:$E$1001,$A$2:$A$1001,A91,$E$2:$E$1001,"&lt;"&amp;E91))))</f>
        <v/>
      </c>
      <c r="R91" s="9">
        <f>IF(OR(Q91="",G91=""),"",G91-Q91)</f>
        <v/>
      </c>
      <c r="S91" s="9">
        <f>IF(R91="","",SUMIFS($R$2:$R$1001,$A$2:$A$1001,A91,$E$2:$E$1001,"&lt;="&amp;E91))</f>
        <v/>
      </c>
      <c r="T91" s="5">
        <f>IF(A91="","",IF(R91="","initial",IF(ABS(R91)&lt;=ShiftThresholdDays,"unchanged",IF(R91&gt;0,"delayed","accelerated"))))</f>
        <v/>
      </c>
    </row>
    <row r="92">
      <c r="A92" s="2" t="n"/>
      <c r="B92" s="2" t="n"/>
      <c r="C92" s="2" t="n"/>
      <c r="D92" s="2" t="n"/>
      <c r="E92" s="2" t="n"/>
      <c r="F92" s="2" t="n"/>
      <c r="G92" s="3" t="n"/>
      <c r="H92" s="2" t="n"/>
      <c r="I92" s="3" t="n"/>
      <c r="J92" s="2" t="n"/>
      <c r="K92" s="2" t="n"/>
      <c r="L92" s="2" t="n"/>
      <c r="M92" s="2" t="n"/>
      <c r="N92" s="2" t="n"/>
      <c r="O92" s="2" t="n"/>
      <c r="P92" s="2" t="n"/>
      <c r="Q92" s="4">
        <f>IF(OR(A92="",E92=""),"",IF(MAXIFS($E$2:$E$1001,$A$2:$A$1001,A92,$E$2:$E$1001,"&lt;"&amp;E92)=0,"",SUMIFS($G$2:$G$1001,$A$2:$A$1001,A92,$E$2:$E$1001,MAXIFS($E$2:$E$1001,$A$2:$A$1001,A92,$E$2:$E$1001,"&lt;"&amp;E92))))</f>
        <v/>
      </c>
      <c r="R92" s="9">
        <f>IF(OR(Q92="",G92=""),"",G92-Q92)</f>
        <v/>
      </c>
      <c r="S92" s="9">
        <f>IF(R92="","",SUMIFS($R$2:$R$1001,$A$2:$A$1001,A92,$E$2:$E$1001,"&lt;="&amp;E92))</f>
        <v/>
      </c>
      <c r="T92" s="5">
        <f>IF(A92="","",IF(R92="","initial",IF(ABS(R92)&lt;=ShiftThresholdDays,"unchanged",IF(R92&gt;0,"delayed","accelerated"))))</f>
        <v/>
      </c>
    </row>
    <row r="93">
      <c r="A93" s="2" t="n"/>
      <c r="B93" s="2" t="n"/>
      <c r="C93" s="2" t="n"/>
      <c r="D93" s="2" t="n"/>
      <c r="E93" s="2" t="n"/>
      <c r="F93" s="2" t="n"/>
      <c r="G93" s="3" t="n"/>
      <c r="H93" s="2" t="n"/>
      <c r="I93" s="3" t="n"/>
      <c r="J93" s="2" t="n"/>
      <c r="K93" s="2" t="n"/>
      <c r="L93" s="2" t="n"/>
      <c r="M93" s="2" t="n"/>
      <c r="N93" s="2" t="n"/>
      <c r="O93" s="2" t="n"/>
      <c r="P93" s="2" t="n"/>
      <c r="Q93" s="4">
        <f>IF(OR(A93="",E93=""),"",IF(MAXIFS($E$2:$E$1001,$A$2:$A$1001,A93,$E$2:$E$1001,"&lt;"&amp;E93)=0,"",SUMIFS($G$2:$G$1001,$A$2:$A$1001,A93,$E$2:$E$1001,MAXIFS($E$2:$E$1001,$A$2:$A$1001,A93,$E$2:$E$1001,"&lt;"&amp;E93))))</f>
        <v/>
      </c>
      <c r="R93" s="9">
        <f>IF(OR(Q93="",G93=""),"",G93-Q93)</f>
        <v/>
      </c>
      <c r="S93" s="9">
        <f>IF(R93="","",SUMIFS($R$2:$R$1001,$A$2:$A$1001,A93,$E$2:$E$1001,"&lt;="&amp;E93))</f>
        <v/>
      </c>
      <c r="T93" s="5">
        <f>IF(A93="","",IF(R93="","initial",IF(ABS(R93)&lt;=ShiftThresholdDays,"unchanged",IF(R93&gt;0,"delayed","accelerated"))))</f>
        <v/>
      </c>
    </row>
    <row r="94">
      <c r="A94" s="2" t="n"/>
      <c r="B94" s="2" t="n"/>
      <c r="C94" s="2" t="n"/>
      <c r="D94" s="2" t="n"/>
      <c r="E94" s="2" t="n"/>
      <c r="F94" s="2" t="n"/>
      <c r="G94" s="3" t="n"/>
      <c r="H94" s="2" t="n"/>
      <c r="I94" s="3" t="n"/>
      <c r="J94" s="2" t="n"/>
      <c r="K94" s="2" t="n"/>
      <c r="L94" s="2" t="n"/>
      <c r="M94" s="2" t="n"/>
      <c r="N94" s="2" t="n"/>
      <c r="O94" s="2" t="n"/>
      <c r="P94" s="2" t="n"/>
      <c r="Q94" s="4">
        <f>IF(OR(A94="",E94=""),"",IF(MAXIFS($E$2:$E$1001,$A$2:$A$1001,A94,$E$2:$E$1001,"&lt;"&amp;E94)=0,"",SUMIFS($G$2:$G$1001,$A$2:$A$1001,A94,$E$2:$E$1001,MAXIFS($E$2:$E$1001,$A$2:$A$1001,A94,$E$2:$E$1001,"&lt;"&amp;E94))))</f>
        <v/>
      </c>
      <c r="R94" s="9">
        <f>IF(OR(Q94="",G94=""),"",G94-Q94)</f>
        <v/>
      </c>
      <c r="S94" s="9">
        <f>IF(R94="","",SUMIFS($R$2:$R$1001,$A$2:$A$1001,A94,$E$2:$E$1001,"&lt;="&amp;E94))</f>
        <v/>
      </c>
      <c r="T94" s="5">
        <f>IF(A94="","",IF(R94="","initial",IF(ABS(R94)&lt;=ShiftThresholdDays,"unchanged",IF(R94&gt;0,"delayed","accelerated"))))</f>
        <v/>
      </c>
    </row>
    <row r="95">
      <c r="A95" s="2" t="n"/>
      <c r="B95" s="2" t="n"/>
      <c r="C95" s="2" t="n"/>
      <c r="D95" s="2" t="n"/>
      <c r="E95" s="2" t="n"/>
      <c r="F95" s="2" t="n"/>
      <c r="G95" s="3" t="n"/>
      <c r="H95" s="2" t="n"/>
      <c r="I95" s="3" t="n"/>
      <c r="J95" s="2" t="n"/>
      <c r="K95" s="2" t="n"/>
      <c r="L95" s="2" t="n"/>
      <c r="M95" s="2" t="n"/>
      <c r="N95" s="2" t="n"/>
      <c r="O95" s="2" t="n"/>
      <c r="P95" s="2" t="n"/>
      <c r="Q95" s="4">
        <f>IF(OR(A95="",E95=""),"",IF(MAXIFS($E$2:$E$1001,$A$2:$A$1001,A95,$E$2:$E$1001,"&lt;"&amp;E95)=0,"",SUMIFS($G$2:$G$1001,$A$2:$A$1001,A95,$E$2:$E$1001,MAXIFS($E$2:$E$1001,$A$2:$A$1001,A95,$E$2:$E$1001,"&lt;"&amp;E95))))</f>
        <v/>
      </c>
      <c r="R95" s="9">
        <f>IF(OR(Q95="",G95=""),"",G95-Q95)</f>
        <v/>
      </c>
      <c r="S95" s="9">
        <f>IF(R95="","",SUMIFS($R$2:$R$1001,$A$2:$A$1001,A95,$E$2:$E$1001,"&lt;="&amp;E95))</f>
        <v/>
      </c>
      <c r="T95" s="5">
        <f>IF(A95="","",IF(R95="","initial",IF(ABS(R95)&lt;=ShiftThresholdDays,"unchanged",IF(R95&gt;0,"delayed","accelerated"))))</f>
        <v/>
      </c>
    </row>
    <row r="96">
      <c r="A96" s="2" t="n"/>
      <c r="B96" s="2" t="n"/>
      <c r="C96" s="2" t="n"/>
      <c r="D96" s="2" t="n"/>
      <c r="E96" s="2" t="n"/>
      <c r="F96" s="2" t="n"/>
      <c r="G96" s="3" t="n"/>
      <c r="H96" s="2" t="n"/>
      <c r="I96" s="3" t="n"/>
      <c r="J96" s="2" t="n"/>
      <c r="K96" s="2" t="n"/>
      <c r="L96" s="2" t="n"/>
      <c r="M96" s="2" t="n"/>
      <c r="N96" s="2" t="n"/>
      <c r="O96" s="2" t="n"/>
      <c r="P96" s="2" t="n"/>
      <c r="Q96" s="4">
        <f>IF(OR(A96="",E96=""),"",IF(MAXIFS($E$2:$E$1001,$A$2:$A$1001,A96,$E$2:$E$1001,"&lt;"&amp;E96)=0,"",SUMIFS($G$2:$G$1001,$A$2:$A$1001,A96,$E$2:$E$1001,MAXIFS($E$2:$E$1001,$A$2:$A$1001,A96,$E$2:$E$1001,"&lt;"&amp;E96))))</f>
        <v/>
      </c>
      <c r="R96" s="9">
        <f>IF(OR(Q96="",G96=""),"",G96-Q96)</f>
        <v/>
      </c>
      <c r="S96" s="9">
        <f>IF(R96="","",SUMIFS($R$2:$R$1001,$A$2:$A$1001,A96,$E$2:$E$1001,"&lt;="&amp;E96))</f>
        <v/>
      </c>
      <c r="T96" s="5">
        <f>IF(A96="","",IF(R96="","initial",IF(ABS(R96)&lt;=ShiftThresholdDays,"unchanged",IF(R96&gt;0,"delayed","accelerated"))))</f>
        <v/>
      </c>
    </row>
    <row r="97">
      <c r="A97" s="2" t="n"/>
      <c r="B97" s="2" t="n"/>
      <c r="C97" s="2" t="n"/>
      <c r="D97" s="2" t="n"/>
      <c r="E97" s="2" t="n"/>
      <c r="F97" s="2" t="n"/>
      <c r="G97" s="3" t="n"/>
      <c r="H97" s="2" t="n"/>
      <c r="I97" s="3" t="n"/>
      <c r="J97" s="2" t="n"/>
      <c r="K97" s="2" t="n"/>
      <c r="L97" s="2" t="n"/>
      <c r="M97" s="2" t="n"/>
      <c r="N97" s="2" t="n"/>
      <c r="O97" s="2" t="n"/>
      <c r="P97" s="2" t="n"/>
      <c r="Q97" s="4">
        <f>IF(OR(A97="",E97=""),"",IF(MAXIFS($E$2:$E$1001,$A$2:$A$1001,A97,$E$2:$E$1001,"&lt;"&amp;E97)=0,"",SUMIFS($G$2:$G$1001,$A$2:$A$1001,A97,$E$2:$E$1001,MAXIFS($E$2:$E$1001,$A$2:$A$1001,A97,$E$2:$E$1001,"&lt;"&amp;E97))))</f>
        <v/>
      </c>
      <c r="R97" s="9">
        <f>IF(OR(Q97="",G97=""),"",G97-Q97)</f>
        <v/>
      </c>
      <c r="S97" s="9">
        <f>IF(R97="","",SUMIFS($R$2:$R$1001,$A$2:$A$1001,A97,$E$2:$E$1001,"&lt;="&amp;E97))</f>
        <v/>
      </c>
      <c r="T97" s="5">
        <f>IF(A97="","",IF(R97="","initial",IF(ABS(R97)&lt;=ShiftThresholdDays,"unchanged",IF(R97&gt;0,"delayed","accelerated"))))</f>
        <v/>
      </c>
    </row>
    <row r="98">
      <c r="A98" s="2" t="n"/>
      <c r="B98" s="2" t="n"/>
      <c r="C98" s="2" t="n"/>
      <c r="D98" s="2" t="n"/>
      <c r="E98" s="2" t="n"/>
      <c r="F98" s="2" t="n"/>
      <c r="G98" s="3" t="n"/>
      <c r="H98" s="2" t="n"/>
      <c r="I98" s="3" t="n"/>
      <c r="J98" s="2" t="n"/>
      <c r="K98" s="2" t="n"/>
      <c r="L98" s="2" t="n"/>
      <c r="M98" s="2" t="n"/>
      <c r="N98" s="2" t="n"/>
      <c r="O98" s="2" t="n"/>
      <c r="P98" s="2" t="n"/>
      <c r="Q98" s="4">
        <f>IF(OR(A98="",E98=""),"",IF(MAXIFS($E$2:$E$1001,$A$2:$A$1001,A98,$E$2:$E$1001,"&lt;"&amp;E98)=0,"",SUMIFS($G$2:$G$1001,$A$2:$A$1001,A98,$E$2:$E$1001,MAXIFS($E$2:$E$1001,$A$2:$A$1001,A98,$E$2:$E$1001,"&lt;"&amp;E98))))</f>
        <v/>
      </c>
      <c r="R98" s="9">
        <f>IF(OR(Q98="",G98=""),"",G98-Q98)</f>
        <v/>
      </c>
      <c r="S98" s="9">
        <f>IF(R98="","",SUMIFS($R$2:$R$1001,$A$2:$A$1001,A98,$E$2:$E$1001,"&lt;="&amp;E98))</f>
        <v/>
      </c>
      <c r="T98" s="5">
        <f>IF(A98="","",IF(R98="","initial",IF(ABS(R98)&lt;=ShiftThresholdDays,"unchanged",IF(R98&gt;0,"delayed","accelerated"))))</f>
        <v/>
      </c>
    </row>
    <row r="99">
      <c r="A99" s="2" t="n"/>
      <c r="B99" s="2" t="n"/>
      <c r="C99" s="2" t="n"/>
      <c r="D99" s="2" t="n"/>
      <c r="E99" s="2" t="n"/>
      <c r="F99" s="2" t="n"/>
      <c r="G99" s="3" t="n"/>
      <c r="H99" s="2" t="n"/>
      <c r="I99" s="3" t="n"/>
      <c r="J99" s="2" t="n"/>
      <c r="K99" s="2" t="n"/>
      <c r="L99" s="2" t="n"/>
      <c r="M99" s="2" t="n"/>
      <c r="N99" s="2" t="n"/>
      <c r="O99" s="2" t="n"/>
      <c r="P99" s="2" t="n"/>
      <c r="Q99" s="4">
        <f>IF(OR(A99="",E99=""),"",IF(MAXIFS($E$2:$E$1001,$A$2:$A$1001,A99,$E$2:$E$1001,"&lt;"&amp;E99)=0,"",SUMIFS($G$2:$G$1001,$A$2:$A$1001,A99,$E$2:$E$1001,MAXIFS($E$2:$E$1001,$A$2:$A$1001,A99,$E$2:$E$1001,"&lt;"&amp;E99))))</f>
        <v/>
      </c>
      <c r="R99" s="9">
        <f>IF(OR(Q99="",G99=""),"",G99-Q99)</f>
        <v/>
      </c>
      <c r="S99" s="9">
        <f>IF(R99="","",SUMIFS($R$2:$R$1001,$A$2:$A$1001,A99,$E$2:$E$1001,"&lt;="&amp;E99))</f>
        <v/>
      </c>
      <c r="T99" s="5">
        <f>IF(A99="","",IF(R99="","initial",IF(ABS(R99)&lt;=ShiftThresholdDays,"unchanged",IF(R99&gt;0,"delayed","accelerated"))))</f>
        <v/>
      </c>
    </row>
    <row r="100">
      <c r="A100" s="2" t="n"/>
      <c r="B100" s="2" t="n"/>
      <c r="C100" s="2" t="n"/>
      <c r="D100" s="2" t="n"/>
      <c r="E100" s="2" t="n"/>
      <c r="F100" s="2" t="n"/>
      <c r="G100" s="3" t="n"/>
      <c r="H100" s="2" t="n"/>
      <c r="I100" s="3" t="n"/>
      <c r="J100" s="2" t="n"/>
      <c r="K100" s="2" t="n"/>
      <c r="L100" s="2" t="n"/>
      <c r="M100" s="2" t="n"/>
      <c r="N100" s="2" t="n"/>
      <c r="O100" s="2" t="n"/>
      <c r="P100" s="2" t="n"/>
      <c r="Q100" s="4">
        <f>IF(OR(A100="",E100=""),"",IF(MAXIFS($E$2:$E$1001,$A$2:$A$1001,A100,$E$2:$E$1001,"&lt;"&amp;E100)=0,"",SUMIFS($G$2:$G$1001,$A$2:$A$1001,A100,$E$2:$E$1001,MAXIFS($E$2:$E$1001,$A$2:$A$1001,A100,$E$2:$E$1001,"&lt;"&amp;E100))))</f>
        <v/>
      </c>
      <c r="R100" s="9">
        <f>IF(OR(Q100="",G100=""),"",G100-Q100)</f>
        <v/>
      </c>
      <c r="S100" s="9">
        <f>IF(R100="","",SUMIFS($R$2:$R$1001,$A$2:$A$1001,A100,$E$2:$E$1001,"&lt;="&amp;E100))</f>
        <v/>
      </c>
      <c r="T100" s="5">
        <f>IF(A100="","",IF(R100="","initial",IF(ABS(R100)&lt;=ShiftThresholdDays,"unchanged",IF(R100&gt;0,"delayed","accelerated"))))</f>
        <v/>
      </c>
    </row>
    <row r="101">
      <c r="A101" s="2" t="n"/>
      <c r="B101" s="2" t="n"/>
      <c r="C101" s="2" t="n"/>
      <c r="D101" s="2" t="n"/>
      <c r="E101" s="2" t="n"/>
      <c r="F101" s="2" t="n"/>
      <c r="G101" s="3" t="n"/>
      <c r="H101" s="2" t="n"/>
      <c r="I101" s="3" t="n"/>
      <c r="J101" s="2" t="n"/>
      <c r="K101" s="2" t="n"/>
      <c r="L101" s="2" t="n"/>
      <c r="M101" s="2" t="n"/>
      <c r="N101" s="2" t="n"/>
      <c r="O101" s="2" t="n"/>
      <c r="P101" s="2" t="n"/>
      <c r="Q101" s="4">
        <f>IF(OR(A101="",E101=""),"",IF(MAXIFS($E$2:$E$1001,$A$2:$A$1001,A101,$E$2:$E$1001,"&lt;"&amp;E101)=0,"",SUMIFS($G$2:$G$1001,$A$2:$A$1001,A101,$E$2:$E$1001,MAXIFS($E$2:$E$1001,$A$2:$A$1001,A101,$E$2:$E$1001,"&lt;"&amp;E101))))</f>
        <v/>
      </c>
      <c r="R101" s="9">
        <f>IF(OR(Q101="",G101=""),"",G101-Q101)</f>
        <v/>
      </c>
      <c r="S101" s="9">
        <f>IF(R101="","",SUMIFS($R$2:$R$1001,$A$2:$A$1001,A101,$E$2:$E$1001,"&lt;="&amp;E101))</f>
        <v/>
      </c>
      <c r="T101" s="5">
        <f>IF(A101="","",IF(R101="","initial",IF(ABS(R101)&lt;=ShiftThresholdDays,"unchanged",IF(R101&gt;0,"delayed","accelerated"))))</f>
        <v/>
      </c>
    </row>
    <row r="102">
      <c r="A102" s="2" t="n"/>
      <c r="B102" s="2" t="n"/>
      <c r="C102" s="2" t="n"/>
      <c r="D102" s="2" t="n"/>
      <c r="E102" s="2" t="n"/>
      <c r="F102" s="2" t="n"/>
      <c r="G102" s="3" t="n"/>
      <c r="H102" s="2" t="n"/>
      <c r="I102" s="3" t="n"/>
      <c r="J102" s="2" t="n"/>
      <c r="K102" s="2" t="n"/>
      <c r="L102" s="2" t="n"/>
      <c r="M102" s="2" t="n"/>
      <c r="N102" s="2" t="n"/>
      <c r="O102" s="2" t="n"/>
      <c r="P102" s="2" t="n"/>
      <c r="Q102" s="4">
        <f>IF(OR(A102="",E102=""),"",IF(MAXIFS($E$2:$E$1001,$A$2:$A$1001,A102,$E$2:$E$1001,"&lt;"&amp;E102)=0,"",SUMIFS($G$2:$G$1001,$A$2:$A$1001,A102,$E$2:$E$1001,MAXIFS($E$2:$E$1001,$A$2:$A$1001,A102,$E$2:$E$1001,"&lt;"&amp;E102))))</f>
        <v/>
      </c>
      <c r="R102" s="9">
        <f>IF(OR(Q102="",G102=""),"",G102-Q102)</f>
        <v/>
      </c>
      <c r="S102" s="9">
        <f>IF(R102="","",SUMIFS($R$2:$R$1001,$A$2:$A$1001,A102,$E$2:$E$1001,"&lt;="&amp;E102))</f>
        <v/>
      </c>
      <c r="T102" s="5">
        <f>IF(A102="","",IF(R102="","initial",IF(ABS(R102)&lt;=ShiftThresholdDays,"unchanged",IF(R102&gt;0,"delayed","accelerated"))))</f>
        <v/>
      </c>
    </row>
    <row r="103">
      <c r="A103" s="2" t="n"/>
      <c r="B103" s="2" t="n"/>
      <c r="C103" s="2" t="n"/>
      <c r="D103" s="2" t="n"/>
      <c r="E103" s="2" t="n"/>
      <c r="F103" s="2" t="n"/>
      <c r="G103" s="3" t="n"/>
      <c r="H103" s="2" t="n"/>
      <c r="I103" s="3" t="n"/>
      <c r="J103" s="2" t="n"/>
      <c r="K103" s="2" t="n"/>
      <c r="L103" s="2" t="n"/>
      <c r="M103" s="2" t="n"/>
      <c r="N103" s="2" t="n"/>
      <c r="O103" s="2" t="n"/>
      <c r="P103" s="2" t="n"/>
      <c r="Q103" s="4">
        <f>IF(OR(A103="",E103=""),"",IF(MAXIFS($E$2:$E$1001,$A$2:$A$1001,A103,$E$2:$E$1001,"&lt;"&amp;E103)=0,"",SUMIFS($G$2:$G$1001,$A$2:$A$1001,A103,$E$2:$E$1001,MAXIFS($E$2:$E$1001,$A$2:$A$1001,A103,$E$2:$E$1001,"&lt;"&amp;E103))))</f>
        <v/>
      </c>
      <c r="R103" s="9">
        <f>IF(OR(Q103="",G103=""),"",G103-Q103)</f>
        <v/>
      </c>
      <c r="S103" s="9">
        <f>IF(R103="","",SUMIFS($R$2:$R$1001,$A$2:$A$1001,A103,$E$2:$E$1001,"&lt;="&amp;E103))</f>
        <v/>
      </c>
      <c r="T103" s="5">
        <f>IF(A103="","",IF(R103="","initial",IF(ABS(R103)&lt;=ShiftThresholdDays,"unchanged",IF(R103&gt;0,"delayed","accelerated"))))</f>
        <v/>
      </c>
    </row>
    <row r="104">
      <c r="A104" s="2" t="n"/>
      <c r="B104" s="2" t="n"/>
      <c r="C104" s="2" t="n"/>
      <c r="D104" s="2" t="n"/>
      <c r="E104" s="2" t="n"/>
      <c r="F104" s="2" t="n"/>
      <c r="G104" s="3" t="n"/>
      <c r="H104" s="2" t="n"/>
      <c r="I104" s="3" t="n"/>
      <c r="J104" s="2" t="n"/>
      <c r="K104" s="2" t="n"/>
      <c r="L104" s="2" t="n"/>
      <c r="M104" s="2" t="n"/>
      <c r="N104" s="2" t="n"/>
      <c r="O104" s="2" t="n"/>
      <c r="P104" s="2" t="n"/>
      <c r="Q104" s="4">
        <f>IF(OR(A104="",E104=""),"",IF(MAXIFS($E$2:$E$1001,$A$2:$A$1001,A104,$E$2:$E$1001,"&lt;"&amp;E104)=0,"",SUMIFS($G$2:$G$1001,$A$2:$A$1001,A104,$E$2:$E$1001,MAXIFS($E$2:$E$1001,$A$2:$A$1001,A104,$E$2:$E$1001,"&lt;"&amp;E104))))</f>
        <v/>
      </c>
      <c r="R104" s="9">
        <f>IF(OR(Q104="",G104=""),"",G104-Q104)</f>
        <v/>
      </c>
      <c r="S104" s="9">
        <f>IF(R104="","",SUMIFS($R$2:$R$1001,$A$2:$A$1001,A104,$E$2:$E$1001,"&lt;="&amp;E104))</f>
        <v/>
      </c>
      <c r="T104" s="5">
        <f>IF(A104="","",IF(R104="","initial",IF(ABS(R104)&lt;=ShiftThresholdDays,"unchanged",IF(R104&gt;0,"delayed","accelerated"))))</f>
        <v/>
      </c>
    </row>
    <row r="105">
      <c r="A105" s="2" t="n"/>
      <c r="B105" s="2" t="n"/>
      <c r="C105" s="2" t="n"/>
      <c r="D105" s="2" t="n"/>
      <c r="E105" s="2" t="n"/>
      <c r="F105" s="2" t="n"/>
      <c r="G105" s="3" t="n"/>
      <c r="H105" s="2" t="n"/>
      <c r="I105" s="3" t="n"/>
      <c r="J105" s="2" t="n"/>
      <c r="K105" s="2" t="n"/>
      <c r="L105" s="2" t="n"/>
      <c r="M105" s="2" t="n"/>
      <c r="N105" s="2" t="n"/>
      <c r="O105" s="2" t="n"/>
      <c r="P105" s="2" t="n"/>
      <c r="Q105" s="4">
        <f>IF(OR(A105="",E105=""),"",IF(MAXIFS($E$2:$E$1001,$A$2:$A$1001,A105,$E$2:$E$1001,"&lt;"&amp;E105)=0,"",SUMIFS($G$2:$G$1001,$A$2:$A$1001,A105,$E$2:$E$1001,MAXIFS($E$2:$E$1001,$A$2:$A$1001,A105,$E$2:$E$1001,"&lt;"&amp;E105))))</f>
        <v/>
      </c>
      <c r="R105" s="9">
        <f>IF(OR(Q105="",G105=""),"",G105-Q105)</f>
        <v/>
      </c>
      <c r="S105" s="9">
        <f>IF(R105="","",SUMIFS($R$2:$R$1001,$A$2:$A$1001,A105,$E$2:$E$1001,"&lt;="&amp;E105))</f>
        <v/>
      </c>
      <c r="T105" s="5">
        <f>IF(A105="","",IF(R105="","initial",IF(ABS(R105)&lt;=ShiftThresholdDays,"unchanged",IF(R105&gt;0,"delayed","accelerated"))))</f>
        <v/>
      </c>
    </row>
    <row r="106">
      <c r="A106" s="2" t="n"/>
      <c r="B106" s="2" t="n"/>
      <c r="C106" s="2" t="n"/>
      <c r="D106" s="2" t="n"/>
      <c r="E106" s="2" t="n"/>
      <c r="F106" s="2" t="n"/>
      <c r="G106" s="3" t="n"/>
      <c r="H106" s="2" t="n"/>
      <c r="I106" s="3" t="n"/>
      <c r="J106" s="2" t="n"/>
      <c r="K106" s="2" t="n"/>
      <c r="L106" s="2" t="n"/>
      <c r="M106" s="2" t="n"/>
      <c r="N106" s="2" t="n"/>
      <c r="O106" s="2" t="n"/>
      <c r="P106" s="2" t="n"/>
      <c r="Q106" s="4">
        <f>IF(OR(A106="",E106=""),"",IF(MAXIFS($E$2:$E$1001,$A$2:$A$1001,A106,$E$2:$E$1001,"&lt;"&amp;E106)=0,"",SUMIFS($G$2:$G$1001,$A$2:$A$1001,A106,$E$2:$E$1001,MAXIFS($E$2:$E$1001,$A$2:$A$1001,A106,$E$2:$E$1001,"&lt;"&amp;E106))))</f>
        <v/>
      </c>
      <c r="R106" s="9">
        <f>IF(OR(Q106="",G106=""),"",G106-Q106)</f>
        <v/>
      </c>
      <c r="S106" s="9">
        <f>IF(R106="","",SUMIFS($R$2:$R$1001,$A$2:$A$1001,A106,$E$2:$E$1001,"&lt;="&amp;E106))</f>
        <v/>
      </c>
      <c r="T106" s="5">
        <f>IF(A106="","",IF(R106="","initial",IF(ABS(R106)&lt;=ShiftThresholdDays,"unchanged",IF(R106&gt;0,"delayed","accelerated"))))</f>
        <v/>
      </c>
    </row>
    <row r="107">
      <c r="A107" s="2" t="n"/>
      <c r="B107" s="2" t="n"/>
      <c r="C107" s="2" t="n"/>
      <c r="D107" s="2" t="n"/>
      <c r="E107" s="2" t="n"/>
      <c r="F107" s="2" t="n"/>
      <c r="G107" s="3" t="n"/>
      <c r="H107" s="2" t="n"/>
      <c r="I107" s="3" t="n"/>
      <c r="J107" s="2" t="n"/>
      <c r="K107" s="2" t="n"/>
      <c r="L107" s="2" t="n"/>
      <c r="M107" s="2" t="n"/>
      <c r="N107" s="2" t="n"/>
      <c r="O107" s="2" t="n"/>
      <c r="P107" s="2" t="n"/>
      <c r="Q107" s="4">
        <f>IF(OR(A107="",E107=""),"",IF(MAXIFS($E$2:$E$1001,$A$2:$A$1001,A107,$E$2:$E$1001,"&lt;"&amp;E107)=0,"",SUMIFS($G$2:$G$1001,$A$2:$A$1001,A107,$E$2:$E$1001,MAXIFS($E$2:$E$1001,$A$2:$A$1001,A107,$E$2:$E$1001,"&lt;"&amp;E107))))</f>
        <v/>
      </c>
      <c r="R107" s="9">
        <f>IF(OR(Q107="",G107=""),"",G107-Q107)</f>
        <v/>
      </c>
      <c r="S107" s="9">
        <f>IF(R107="","",SUMIFS($R$2:$R$1001,$A$2:$A$1001,A107,$E$2:$E$1001,"&lt;="&amp;E107))</f>
        <v/>
      </c>
      <c r="T107" s="5">
        <f>IF(A107="","",IF(R107="","initial",IF(ABS(R107)&lt;=ShiftThresholdDays,"unchanged",IF(R107&gt;0,"delayed","accelerated"))))</f>
        <v/>
      </c>
    </row>
    <row r="108">
      <c r="A108" s="2" t="n"/>
      <c r="B108" s="2" t="n"/>
      <c r="C108" s="2" t="n"/>
      <c r="D108" s="2" t="n"/>
      <c r="E108" s="2" t="n"/>
      <c r="F108" s="2" t="n"/>
      <c r="G108" s="3" t="n"/>
      <c r="H108" s="2" t="n"/>
      <c r="I108" s="3" t="n"/>
      <c r="J108" s="2" t="n"/>
      <c r="K108" s="2" t="n"/>
      <c r="L108" s="2" t="n"/>
      <c r="M108" s="2" t="n"/>
      <c r="N108" s="2" t="n"/>
      <c r="O108" s="2" t="n"/>
      <c r="P108" s="2" t="n"/>
      <c r="Q108" s="4">
        <f>IF(OR(A108="",E108=""),"",IF(MAXIFS($E$2:$E$1001,$A$2:$A$1001,A108,$E$2:$E$1001,"&lt;"&amp;E108)=0,"",SUMIFS($G$2:$G$1001,$A$2:$A$1001,A108,$E$2:$E$1001,MAXIFS($E$2:$E$1001,$A$2:$A$1001,A108,$E$2:$E$1001,"&lt;"&amp;E108))))</f>
        <v/>
      </c>
      <c r="R108" s="9">
        <f>IF(OR(Q108="",G108=""),"",G108-Q108)</f>
        <v/>
      </c>
      <c r="S108" s="9">
        <f>IF(R108="","",SUMIFS($R$2:$R$1001,$A$2:$A$1001,A108,$E$2:$E$1001,"&lt;="&amp;E108))</f>
        <v/>
      </c>
      <c r="T108" s="5">
        <f>IF(A108="","",IF(R108="","initial",IF(ABS(R108)&lt;=ShiftThresholdDays,"unchanged",IF(R108&gt;0,"delayed","accelerated"))))</f>
        <v/>
      </c>
    </row>
    <row r="109">
      <c r="A109" s="2" t="n"/>
      <c r="B109" s="2" t="n"/>
      <c r="C109" s="2" t="n"/>
      <c r="D109" s="2" t="n"/>
      <c r="E109" s="2" t="n"/>
      <c r="F109" s="2" t="n"/>
      <c r="G109" s="3" t="n"/>
      <c r="H109" s="2" t="n"/>
      <c r="I109" s="3" t="n"/>
      <c r="J109" s="2" t="n"/>
      <c r="K109" s="2" t="n"/>
      <c r="L109" s="2" t="n"/>
      <c r="M109" s="2" t="n"/>
      <c r="N109" s="2" t="n"/>
      <c r="O109" s="2" t="n"/>
      <c r="P109" s="2" t="n"/>
      <c r="Q109" s="4">
        <f>IF(OR(A109="",E109=""),"",IF(MAXIFS($E$2:$E$1001,$A$2:$A$1001,A109,$E$2:$E$1001,"&lt;"&amp;E109)=0,"",SUMIFS($G$2:$G$1001,$A$2:$A$1001,A109,$E$2:$E$1001,MAXIFS($E$2:$E$1001,$A$2:$A$1001,A109,$E$2:$E$1001,"&lt;"&amp;E109))))</f>
        <v/>
      </c>
      <c r="R109" s="9">
        <f>IF(OR(Q109="",G109=""),"",G109-Q109)</f>
        <v/>
      </c>
      <c r="S109" s="9">
        <f>IF(R109="","",SUMIFS($R$2:$R$1001,$A$2:$A$1001,A109,$E$2:$E$1001,"&lt;="&amp;E109))</f>
        <v/>
      </c>
      <c r="T109" s="5">
        <f>IF(A109="","",IF(R109="","initial",IF(ABS(R109)&lt;=ShiftThresholdDays,"unchanged",IF(R109&gt;0,"delayed","accelerated"))))</f>
        <v/>
      </c>
    </row>
    <row r="110">
      <c r="A110" s="2" t="n"/>
      <c r="B110" s="2" t="n"/>
      <c r="C110" s="2" t="n"/>
      <c r="D110" s="2" t="n"/>
      <c r="E110" s="2" t="n"/>
      <c r="F110" s="2" t="n"/>
      <c r="G110" s="3" t="n"/>
      <c r="H110" s="2" t="n"/>
      <c r="I110" s="3" t="n"/>
      <c r="J110" s="2" t="n"/>
      <c r="K110" s="2" t="n"/>
      <c r="L110" s="2" t="n"/>
      <c r="M110" s="2" t="n"/>
      <c r="N110" s="2" t="n"/>
      <c r="O110" s="2" t="n"/>
      <c r="P110" s="2" t="n"/>
      <c r="Q110" s="4">
        <f>IF(OR(A110="",E110=""),"",IF(MAXIFS($E$2:$E$1001,$A$2:$A$1001,A110,$E$2:$E$1001,"&lt;"&amp;E110)=0,"",SUMIFS($G$2:$G$1001,$A$2:$A$1001,A110,$E$2:$E$1001,MAXIFS($E$2:$E$1001,$A$2:$A$1001,A110,$E$2:$E$1001,"&lt;"&amp;E110))))</f>
        <v/>
      </c>
      <c r="R110" s="9">
        <f>IF(OR(Q110="",G110=""),"",G110-Q110)</f>
        <v/>
      </c>
      <c r="S110" s="9">
        <f>IF(R110="","",SUMIFS($R$2:$R$1001,$A$2:$A$1001,A110,$E$2:$E$1001,"&lt;="&amp;E110))</f>
        <v/>
      </c>
      <c r="T110" s="5">
        <f>IF(A110="","",IF(R110="","initial",IF(ABS(R110)&lt;=ShiftThresholdDays,"unchanged",IF(R110&gt;0,"delayed","accelerated"))))</f>
        <v/>
      </c>
    </row>
    <row r="111">
      <c r="A111" s="2" t="n"/>
      <c r="B111" s="2" t="n"/>
      <c r="C111" s="2" t="n"/>
      <c r="D111" s="2" t="n"/>
      <c r="E111" s="2" t="n"/>
      <c r="F111" s="2" t="n"/>
      <c r="G111" s="3" t="n"/>
      <c r="H111" s="2" t="n"/>
      <c r="I111" s="3" t="n"/>
      <c r="J111" s="2" t="n"/>
      <c r="K111" s="2" t="n"/>
      <c r="L111" s="2" t="n"/>
      <c r="M111" s="2" t="n"/>
      <c r="N111" s="2" t="n"/>
      <c r="O111" s="2" t="n"/>
      <c r="P111" s="2" t="n"/>
      <c r="Q111" s="4">
        <f>IF(OR(A111="",E111=""),"",IF(MAXIFS($E$2:$E$1001,$A$2:$A$1001,A111,$E$2:$E$1001,"&lt;"&amp;E111)=0,"",SUMIFS($G$2:$G$1001,$A$2:$A$1001,A111,$E$2:$E$1001,MAXIFS($E$2:$E$1001,$A$2:$A$1001,A111,$E$2:$E$1001,"&lt;"&amp;E111))))</f>
        <v/>
      </c>
      <c r="R111" s="9">
        <f>IF(OR(Q111="",G111=""),"",G111-Q111)</f>
        <v/>
      </c>
      <c r="S111" s="9">
        <f>IF(R111="","",SUMIFS($R$2:$R$1001,$A$2:$A$1001,A111,$E$2:$E$1001,"&lt;="&amp;E111))</f>
        <v/>
      </c>
      <c r="T111" s="5">
        <f>IF(A111="","",IF(R111="","initial",IF(ABS(R111)&lt;=ShiftThresholdDays,"unchanged",IF(R111&gt;0,"delayed","accelerated"))))</f>
        <v/>
      </c>
    </row>
    <row r="112">
      <c r="A112" s="2" t="n"/>
      <c r="B112" s="2" t="n"/>
      <c r="C112" s="2" t="n"/>
      <c r="D112" s="2" t="n"/>
      <c r="E112" s="2" t="n"/>
      <c r="F112" s="2" t="n"/>
      <c r="G112" s="3" t="n"/>
      <c r="H112" s="2" t="n"/>
      <c r="I112" s="3" t="n"/>
      <c r="J112" s="2" t="n"/>
      <c r="K112" s="2" t="n"/>
      <c r="L112" s="2" t="n"/>
      <c r="M112" s="2" t="n"/>
      <c r="N112" s="2" t="n"/>
      <c r="O112" s="2" t="n"/>
      <c r="P112" s="2" t="n"/>
      <c r="Q112" s="4">
        <f>IF(OR(A112="",E112=""),"",IF(MAXIFS($E$2:$E$1001,$A$2:$A$1001,A112,$E$2:$E$1001,"&lt;"&amp;E112)=0,"",SUMIFS($G$2:$G$1001,$A$2:$A$1001,A112,$E$2:$E$1001,MAXIFS($E$2:$E$1001,$A$2:$A$1001,A112,$E$2:$E$1001,"&lt;"&amp;E112))))</f>
        <v/>
      </c>
      <c r="R112" s="9">
        <f>IF(OR(Q112="",G112=""),"",G112-Q112)</f>
        <v/>
      </c>
      <c r="S112" s="9">
        <f>IF(R112="","",SUMIFS($R$2:$R$1001,$A$2:$A$1001,A112,$E$2:$E$1001,"&lt;="&amp;E112))</f>
        <v/>
      </c>
      <c r="T112" s="5">
        <f>IF(A112="","",IF(R112="","initial",IF(ABS(R112)&lt;=ShiftThresholdDays,"unchanged",IF(R112&gt;0,"delayed","accelerated"))))</f>
        <v/>
      </c>
    </row>
    <row r="113">
      <c r="A113" s="2" t="n"/>
      <c r="B113" s="2" t="n"/>
      <c r="C113" s="2" t="n"/>
      <c r="D113" s="2" t="n"/>
      <c r="E113" s="2" t="n"/>
      <c r="F113" s="2" t="n"/>
      <c r="G113" s="3" t="n"/>
      <c r="H113" s="2" t="n"/>
      <c r="I113" s="3" t="n"/>
      <c r="J113" s="2" t="n"/>
      <c r="K113" s="2" t="n"/>
      <c r="L113" s="2" t="n"/>
      <c r="M113" s="2" t="n"/>
      <c r="N113" s="2" t="n"/>
      <c r="O113" s="2" t="n"/>
      <c r="P113" s="2" t="n"/>
      <c r="Q113" s="4">
        <f>IF(OR(A113="",E113=""),"",IF(MAXIFS($E$2:$E$1001,$A$2:$A$1001,A113,$E$2:$E$1001,"&lt;"&amp;E113)=0,"",SUMIFS($G$2:$G$1001,$A$2:$A$1001,A113,$E$2:$E$1001,MAXIFS($E$2:$E$1001,$A$2:$A$1001,A113,$E$2:$E$1001,"&lt;"&amp;E113))))</f>
        <v/>
      </c>
      <c r="R113" s="9">
        <f>IF(OR(Q113="",G113=""),"",G113-Q113)</f>
        <v/>
      </c>
      <c r="S113" s="9">
        <f>IF(R113="","",SUMIFS($R$2:$R$1001,$A$2:$A$1001,A113,$E$2:$E$1001,"&lt;="&amp;E113))</f>
        <v/>
      </c>
      <c r="T113" s="5">
        <f>IF(A113="","",IF(R113="","initial",IF(ABS(R113)&lt;=ShiftThresholdDays,"unchanged",IF(R113&gt;0,"delayed","accelerated"))))</f>
        <v/>
      </c>
    </row>
    <row r="114">
      <c r="A114" s="2" t="n"/>
      <c r="B114" s="2" t="n"/>
      <c r="C114" s="2" t="n"/>
      <c r="D114" s="2" t="n"/>
      <c r="E114" s="2" t="n"/>
      <c r="F114" s="2" t="n"/>
      <c r="G114" s="3" t="n"/>
      <c r="H114" s="2" t="n"/>
      <c r="I114" s="3" t="n"/>
      <c r="J114" s="2" t="n"/>
      <c r="K114" s="2" t="n"/>
      <c r="L114" s="2" t="n"/>
      <c r="M114" s="2" t="n"/>
      <c r="N114" s="2" t="n"/>
      <c r="O114" s="2" t="n"/>
      <c r="P114" s="2" t="n"/>
      <c r="Q114" s="4">
        <f>IF(OR(A114="",E114=""),"",IF(MAXIFS($E$2:$E$1001,$A$2:$A$1001,A114,$E$2:$E$1001,"&lt;"&amp;E114)=0,"",SUMIFS($G$2:$G$1001,$A$2:$A$1001,A114,$E$2:$E$1001,MAXIFS($E$2:$E$1001,$A$2:$A$1001,A114,$E$2:$E$1001,"&lt;"&amp;E114))))</f>
        <v/>
      </c>
      <c r="R114" s="9">
        <f>IF(OR(Q114="",G114=""),"",G114-Q114)</f>
        <v/>
      </c>
      <c r="S114" s="9">
        <f>IF(R114="","",SUMIFS($R$2:$R$1001,$A$2:$A$1001,A114,$E$2:$E$1001,"&lt;="&amp;E114))</f>
        <v/>
      </c>
      <c r="T114" s="5">
        <f>IF(A114="","",IF(R114="","initial",IF(ABS(R114)&lt;=ShiftThresholdDays,"unchanged",IF(R114&gt;0,"delayed","accelerated"))))</f>
        <v/>
      </c>
    </row>
    <row r="115">
      <c r="A115" s="2" t="n"/>
      <c r="B115" s="2" t="n"/>
      <c r="C115" s="2" t="n"/>
      <c r="D115" s="2" t="n"/>
      <c r="E115" s="2" t="n"/>
      <c r="F115" s="2" t="n"/>
      <c r="G115" s="3" t="n"/>
      <c r="H115" s="2" t="n"/>
      <c r="I115" s="3" t="n"/>
      <c r="J115" s="2" t="n"/>
      <c r="K115" s="2" t="n"/>
      <c r="L115" s="2" t="n"/>
      <c r="M115" s="2" t="n"/>
      <c r="N115" s="2" t="n"/>
      <c r="O115" s="2" t="n"/>
      <c r="P115" s="2" t="n"/>
      <c r="Q115" s="4">
        <f>IF(OR(A115="",E115=""),"",IF(MAXIFS($E$2:$E$1001,$A$2:$A$1001,A115,$E$2:$E$1001,"&lt;"&amp;E115)=0,"",SUMIFS($G$2:$G$1001,$A$2:$A$1001,A115,$E$2:$E$1001,MAXIFS($E$2:$E$1001,$A$2:$A$1001,A115,$E$2:$E$1001,"&lt;"&amp;E115))))</f>
        <v/>
      </c>
      <c r="R115" s="9">
        <f>IF(OR(Q115="",G115=""),"",G115-Q115)</f>
        <v/>
      </c>
      <c r="S115" s="9">
        <f>IF(R115="","",SUMIFS($R$2:$R$1001,$A$2:$A$1001,A115,$E$2:$E$1001,"&lt;="&amp;E115))</f>
        <v/>
      </c>
      <c r="T115" s="5">
        <f>IF(A115="","",IF(R115="","initial",IF(ABS(R115)&lt;=ShiftThresholdDays,"unchanged",IF(R115&gt;0,"delayed","accelerated"))))</f>
        <v/>
      </c>
    </row>
    <row r="116">
      <c r="A116" s="2" t="n"/>
      <c r="B116" s="2" t="n"/>
      <c r="C116" s="2" t="n"/>
      <c r="D116" s="2" t="n"/>
      <c r="E116" s="2" t="n"/>
      <c r="F116" s="2" t="n"/>
      <c r="G116" s="3" t="n"/>
      <c r="H116" s="2" t="n"/>
      <c r="I116" s="3" t="n"/>
      <c r="J116" s="2" t="n"/>
      <c r="K116" s="2" t="n"/>
      <c r="L116" s="2" t="n"/>
      <c r="M116" s="2" t="n"/>
      <c r="N116" s="2" t="n"/>
      <c r="O116" s="2" t="n"/>
      <c r="P116" s="2" t="n"/>
      <c r="Q116" s="4">
        <f>IF(OR(A116="",E116=""),"",IF(MAXIFS($E$2:$E$1001,$A$2:$A$1001,A116,$E$2:$E$1001,"&lt;"&amp;E116)=0,"",SUMIFS($G$2:$G$1001,$A$2:$A$1001,A116,$E$2:$E$1001,MAXIFS($E$2:$E$1001,$A$2:$A$1001,A116,$E$2:$E$1001,"&lt;"&amp;E116))))</f>
        <v/>
      </c>
      <c r="R116" s="9">
        <f>IF(OR(Q116="",G116=""),"",G116-Q116)</f>
        <v/>
      </c>
      <c r="S116" s="9">
        <f>IF(R116="","",SUMIFS($R$2:$R$1001,$A$2:$A$1001,A116,$E$2:$E$1001,"&lt;="&amp;E116))</f>
        <v/>
      </c>
      <c r="T116" s="5">
        <f>IF(A116="","",IF(R116="","initial",IF(ABS(R116)&lt;=ShiftThresholdDays,"unchanged",IF(R116&gt;0,"delayed","accelerated"))))</f>
        <v/>
      </c>
    </row>
    <row r="117">
      <c r="A117" s="2" t="n"/>
      <c r="B117" s="2" t="n"/>
      <c r="C117" s="2" t="n"/>
      <c r="D117" s="2" t="n"/>
      <c r="E117" s="2" t="n"/>
      <c r="F117" s="2" t="n"/>
      <c r="G117" s="3" t="n"/>
      <c r="H117" s="2" t="n"/>
      <c r="I117" s="3" t="n"/>
      <c r="J117" s="2" t="n"/>
      <c r="K117" s="2" t="n"/>
      <c r="L117" s="2" t="n"/>
      <c r="M117" s="2" t="n"/>
      <c r="N117" s="2" t="n"/>
      <c r="O117" s="2" t="n"/>
      <c r="P117" s="2" t="n"/>
      <c r="Q117" s="4">
        <f>IF(OR(A117="",E117=""),"",IF(MAXIFS($E$2:$E$1001,$A$2:$A$1001,A117,$E$2:$E$1001,"&lt;"&amp;E117)=0,"",SUMIFS($G$2:$G$1001,$A$2:$A$1001,A117,$E$2:$E$1001,MAXIFS($E$2:$E$1001,$A$2:$A$1001,A117,$E$2:$E$1001,"&lt;"&amp;E117))))</f>
        <v/>
      </c>
      <c r="R117" s="9">
        <f>IF(OR(Q117="",G117=""),"",G117-Q117)</f>
        <v/>
      </c>
      <c r="S117" s="9">
        <f>IF(R117="","",SUMIFS($R$2:$R$1001,$A$2:$A$1001,A117,$E$2:$E$1001,"&lt;="&amp;E117))</f>
        <v/>
      </c>
      <c r="T117" s="5">
        <f>IF(A117="","",IF(R117="","initial",IF(ABS(R117)&lt;=ShiftThresholdDays,"unchanged",IF(R117&gt;0,"delayed","accelerated"))))</f>
        <v/>
      </c>
    </row>
    <row r="118">
      <c r="A118" s="2" t="n"/>
      <c r="B118" s="2" t="n"/>
      <c r="C118" s="2" t="n"/>
      <c r="D118" s="2" t="n"/>
      <c r="E118" s="2" t="n"/>
      <c r="F118" s="2" t="n"/>
      <c r="G118" s="3" t="n"/>
      <c r="H118" s="2" t="n"/>
      <c r="I118" s="3" t="n"/>
      <c r="J118" s="2" t="n"/>
      <c r="K118" s="2" t="n"/>
      <c r="L118" s="2" t="n"/>
      <c r="M118" s="2" t="n"/>
      <c r="N118" s="2" t="n"/>
      <c r="O118" s="2" t="n"/>
      <c r="P118" s="2" t="n"/>
      <c r="Q118" s="4">
        <f>IF(OR(A118="",E118=""),"",IF(MAXIFS($E$2:$E$1001,$A$2:$A$1001,A118,$E$2:$E$1001,"&lt;"&amp;E118)=0,"",SUMIFS($G$2:$G$1001,$A$2:$A$1001,A118,$E$2:$E$1001,MAXIFS($E$2:$E$1001,$A$2:$A$1001,A118,$E$2:$E$1001,"&lt;"&amp;E118))))</f>
        <v/>
      </c>
      <c r="R118" s="9">
        <f>IF(OR(Q118="",G118=""),"",G118-Q118)</f>
        <v/>
      </c>
      <c r="S118" s="9">
        <f>IF(R118="","",SUMIFS($R$2:$R$1001,$A$2:$A$1001,A118,$E$2:$E$1001,"&lt;="&amp;E118))</f>
        <v/>
      </c>
      <c r="T118" s="5">
        <f>IF(A118="","",IF(R118="","initial",IF(ABS(R118)&lt;=ShiftThresholdDays,"unchanged",IF(R118&gt;0,"delayed","accelerated"))))</f>
        <v/>
      </c>
    </row>
    <row r="119">
      <c r="A119" s="2" t="n"/>
      <c r="B119" s="2" t="n"/>
      <c r="C119" s="2" t="n"/>
      <c r="D119" s="2" t="n"/>
      <c r="E119" s="2" t="n"/>
      <c r="F119" s="2" t="n"/>
      <c r="G119" s="3" t="n"/>
      <c r="H119" s="2" t="n"/>
      <c r="I119" s="3" t="n"/>
      <c r="J119" s="2" t="n"/>
      <c r="K119" s="2" t="n"/>
      <c r="L119" s="2" t="n"/>
      <c r="M119" s="2" t="n"/>
      <c r="N119" s="2" t="n"/>
      <c r="O119" s="2" t="n"/>
      <c r="P119" s="2" t="n"/>
      <c r="Q119" s="4">
        <f>IF(OR(A119="",E119=""),"",IF(MAXIFS($E$2:$E$1001,$A$2:$A$1001,A119,$E$2:$E$1001,"&lt;"&amp;E119)=0,"",SUMIFS($G$2:$G$1001,$A$2:$A$1001,A119,$E$2:$E$1001,MAXIFS($E$2:$E$1001,$A$2:$A$1001,A119,$E$2:$E$1001,"&lt;"&amp;E119))))</f>
        <v/>
      </c>
      <c r="R119" s="9">
        <f>IF(OR(Q119="",G119=""),"",G119-Q119)</f>
        <v/>
      </c>
      <c r="S119" s="9">
        <f>IF(R119="","",SUMIFS($R$2:$R$1001,$A$2:$A$1001,A119,$E$2:$E$1001,"&lt;="&amp;E119))</f>
        <v/>
      </c>
      <c r="T119" s="5">
        <f>IF(A119="","",IF(R119="","initial",IF(ABS(R119)&lt;=ShiftThresholdDays,"unchanged",IF(R119&gt;0,"delayed","accelerated"))))</f>
        <v/>
      </c>
    </row>
    <row r="120">
      <c r="A120" s="2" t="n"/>
      <c r="B120" s="2" t="n"/>
      <c r="C120" s="2" t="n"/>
      <c r="D120" s="2" t="n"/>
      <c r="E120" s="2" t="n"/>
      <c r="F120" s="2" t="n"/>
      <c r="G120" s="3" t="n"/>
      <c r="H120" s="2" t="n"/>
      <c r="I120" s="3" t="n"/>
      <c r="J120" s="2" t="n"/>
      <c r="K120" s="2" t="n"/>
      <c r="L120" s="2" t="n"/>
      <c r="M120" s="2" t="n"/>
      <c r="N120" s="2" t="n"/>
      <c r="O120" s="2" t="n"/>
      <c r="P120" s="2" t="n"/>
      <c r="Q120" s="4">
        <f>IF(OR(A120="",E120=""),"",IF(MAXIFS($E$2:$E$1001,$A$2:$A$1001,A120,$E$2:$E$1001,"&lt;"&amp;E120)=0,"",SUMIFS($G$2:$G$1001,$A$2:$A$1001,A120,$E$2:$E$1001,MAXIFS($E$2:$E$1001,$A$2:$A$1001,A120,$E$2:$E$1001,"&lt;"&amp;E120))))</f>
        <v/>
      </c>
      <c r="R120" s="9">
        <f>IF(OR(Q120="",G120=""),"",G120-Q120)</f>
        <v/>
      </c>
      <c r="S120" s="9">
        <f>IF(R120="","",SUMIFS($R$2:$R$1001,$A$2:$A$1001,A120,$E$2:$E$1001,"&lt;="&amp;E120))</f>
        <v/>
      </c>
      <c r="T120" s="5">
        <f>IF(A120="","",IF(R120="","initial",IF(ABS(R120)&lt;=ShiftThresholdDays,"unchanged",IF(R120&gt;0,"delayed","accelerated"))))</f>
        <v/>
      </c>
    </row>
    <row r="121">
      <c r="A121" s="2" t="n"/>
      <c r="B121" s="2" t="n"/>
      <c r="C121" s="2" t="n"/>
      <c r="D121" s="2" t="n"/>
      <c r="E121" s="2" t="n"/>
      <c r="F121" s="2" t="n"/>
      <c r="G121" s="3" t="n"/>
      <c r="H121" s="2" t="n"/>
      <c r="I121" s="3" t="n"/>
      <c r="J121" s="2" t="n"/>
      <c r="K121" s="2" t="n"/>
      <c r="L121" s="2" t="n"/>
      <c r="M121" s="2" t="n"/>
      <c r="N121" s="2" t="n"/>
      <c r="O121" s="2" t="n"/>
      <c r="P121" s="2" t="n"/>
      <c r="Q121" s="4">
        <f>IF(OR(A121="",E121=""),"",IF(MAXIFS($E$2:$E$1001,$A$2:$A$1001,A121,$E$2:$E$1001,"&lt;"&amp;E121)=0,"",SUMIFS($G$2:$G$1001,$A$2:$A$1001,A121,$E$2:$E$1001,MAXIFS($E$2:$E$1001,$A$2:$A$1001,A121,$E$2:$E$1001,"&lt;"&amp;E121))))</f>
        <v/>
      </c>
      <c r="R121" s="9">
        <f>IF(OR(Q121="",G121=""),"",G121-Q121)</f>
        <v/>
      </c>
      <c r="S121" s="9">
        <f>IF(R121="","",SUMIFS($R$2:$R$1001,$A$2:$A$1001,A121,$E$2:$E$1001,"&lt;="&amp;E121))</f>
        <v/>
      </c>
      <c r="T121" s="5">
        <f>IF(A121="","",IF(R121="","initial",IF(ABS(R121)&lt;=ShiftThresholdDays,"unchanged",IF(R121&gt;0,"delayed","accelerated"))))</f>
        <v/>
      </c>
    </row>
    <row r="122">
      <c r="A122" s="2" t="n"/>
      <c r="B122" s="2" t="n"/>
      <c r="C122" s="2" t="n"/>
      <c r="D122" s="2" t="n"/>
      <c r="E122" s="2" t="n"/>
      <c r="F122" s="2" t="n"/>
      <c r="G122" s="3" t="n"/>
      <c r="H122" s="2" t="n"/>
      <c r="I122" s="3" t="n"/>
      <c r="J122" s="2" t="n"/>
      <c r="K122" s="2" t="n"/>
      <c r="L122" s="2" t="n"/>
      <c r="M122" s="2" t="n"/>
      <c r="N122" s="2" t="n"/>
      <c r="O122" s="2" t="n"/>
      <c r="P122" s="2" t="n"/>
      <c r="Q122" s="4">
        <f>IF(OR(A122="",E122=""),"",IF(MAXIFS($E$2:$E$1001,$A$2:$A$1001,A122,$E$2:$E$1001,"&lt;"&amp;E122)=0,"",SUMIFS($G$2:$G$1001,$A$2:$A$1001,A122,$E$2:$E$1001,MAXIFS($E$2:$E$1001,$A$2:$A$1001,A122,$E$2:$E$1001,"&lt;"&amp;E122))))</f>
        <v/>
      </c>
      <c r="R122" s="9">
        <f>IF(OR(Q122="",G122=""),"",G122-Q122)</f>
        <v/>
      </c>
      <c r="S122" s="9">
        <f>IF(R122="","",SUMIFS($R$2:$R$1001,$A$2:$A$1001,A122,$E$2:$E$1001,"&lt;="&amp;E122))</f>
        <v/>
      </c>
      <c r="T122" s="5">
        <f>IF(A122="","",IF(R122="","initial",IF(ABS(R122)&lt;=ShiftThresholdDays,"unchanged",IF(R122&gt;0,"delayed","accelerated"))))</f>
        <v/>
      </c>
    </row>
    <row r="123">
      <c r="A123" s="2" t="n"/>
      <c r="B123" s="2" t="n"/>
      <c r="C123" s="2" t="n"/>
      <c r="D123" s="2" t="n"/>
      <c r="E123" s="2" t="n"/>
      <c r="F123" s="2" t="n"/>
      <c r="G123" s="3" t="n"/>
      <c r="H123" s="2" t="n"/>
      <c r="I123" s="3" t="n"/>
      <c r="J123" s="2" t="n"/>
      <c r="K123" s="2" t="n"/>
      <c r="L123" s="2" t="n"/>
      <c r="M123" s="2" t="n"/>
      <c r="N123" s="2" t="n"/>
      <c r="O123" s="2" t="n"/>
      <c r="P123" s="2" t="n"/>
      <c r="Q123" s="4">
        <f>IF(OR(A123="",E123=""),"",IF(MAXIFS($E$2:$E$1001,$A$2:$A$1001,A123,$E$2:$E$1001,"&lt;"&amp;E123)=0,"",SUMIFS($G$2:$G$1001,$A$2:$A$1001,A123,$E$2:$E$1001,MAXIFS($E$2:$E$1001,$A$2:$A$1001,A123,$E$2:$E$1001,"&lt;"&amp;E123))))</f>
        <v/>
      </c>
      <c r="R123" s="9">
        <f>IF(OR(Q123="",G123=""),"",G123-Q123)</f>
        <v/>
      </c>
      <c r="S123" s="9">
        <f>IF(R123="","",SUMIFS($R$2:$R$1001,$A$2:$A$1001,A123,$E$2:$E$1001,"&lt;="&amp;E123))</f>
        <v/>
      </c>
      <c r="T123" s="5">
        <f>IF(A123="","",IF(R123="","initial",IF(ABS(R123)&lt;=ShiftThresholdDays,"unchanged",IF(R123&gt;0,"delayed","accelerated"))))</f>
        <v/>
      </c>
    </row>
    <row r="124">
      <c r="A124" s="2" t="n"/>
      <c r="B124" s="2" t="n"/>
      <c r="C124" s="2" t="n"/>
      <c r="D124" s="2" t="n"/>
      <c r="E124" s="2" t="n"/>
      <c r="F124" s="2" t="n"/>
      <c r="G124" s="3" t="n"/>
      <c r="H124" s="2" t="n"/>
      <c r="I124" s="3" t="n"/>
      <c r="J124" s="2" t="n"/>
      <c r="K124" s="2" t="n"/>
      <c r="L124" s="2" t="n"/>
      <c r="M124" s="2" t="n"/>
      <c r="N124" s="2" t="n"/>
      <c r="O124" s="2" t="n"/>
      <c r="P124" s="2" t="n"/>
      <c r="Q124" s="4">
        <f>IF(OR(A124="",E124=""),"",IF(MAXIFS($E$2:$E$1001,$A$2:$A$1001,A124,$E$2:$E$1001,"&lt;"&amp;E124)=0,"",SUMIFS($G$2:$G$1001,$A$2:$A$1001,A124,$E$2:$E$1001,MAXIFS($E$2:$E$1001,$A$2:$A$1001,A124,$E$2:$E$1001,"&lt;"&amp;E124))))</f>
        <v/>
      </c>
      <c r="R124" s="9">
        <f>IF(OR(Q124="",G124=""),"",G124-Q124)</f>
        <v/>
      </c>
      <c r="S124" s="9">
        <f>IF(R124="","",SUMIFS($R$2:$R$1001,$A$2:$A$1001,A124,$E$2:$E$1001,"&lt;="&amp;E124))</f>
        <v/>
      </c>
      <c r="T124" s="5">
        <f>IF(A124="","",IF(R124="","initial",IF(ABS(R124)&lt;=ShiftThresholdDays,"unchanged",IF(R124&gt;0,"delayed","accelerated"))))</f>
        <v/>
      </c>
    </row>
    <row r="125">
      <c r="A125" s="2" t="n"/>
      <c r="B125" s="2" t="n"/>
      <c r="C125" s="2" t="n"/>
      <c r="D125" s="2" t="n"/>
      <c r="E125" s="2" t="n"/>
      <c r="F125" s="2" t="n"/>
      <c r="G125" s="3" t="n"/>
      <c r="H125" s="2" t="n"/>
      <c r="I125" s="3" t="n"/>
      <c r="J125" s="2" t="n"/>
      <c r="K125" s="2" t="n"/>
      <c r="L125" s="2" t="n"/>
      <c r="M125" s="2" t="n"/>
      <c r="N125" s="2" t="n"/>
      <c r="O125" s="2" t="n"/>
      <c r="P125" s="2" t="n"/>
      <c r="Q125" s="4">
        <f>IF(OR(A125="",E125=""),"",IF(MAXIFS($E$2:$E$1001,$A$2:$A$1001,A125,$E$2:$E$1001,"&lt;"&amp;E125)=0,"",SUMIFS($G$2:$G$1001,$A$2:$A$1001,A125,$E$2:$E$1001,MAXIFS($E$2:$E$1001,$A$2:$A$1001,A125,$E$2:$E$1001,"&lt;"&amp;E125))))</f>
        <v/>
      </c>
      <c r="R125" s="9">
        <f>IF(OR(Q125="",G125=""),"",G125-Q125)</f>
        <v/>
      </c>
      <c r="S125" s="9">
        <f>IF(R125="","",SUMIFS($R$2:$R$1001,$A$2:$A$1001,A125,$E$2:$E$1001,"&lt;="&amp;E125))</f>
        <v/>
      </c>
      <c r="T125" s="5">
        <f>IF(A125="","",IF(R125="","initial",IF(ABS(R125)&lt;=ShiftThresholdDays,"unchanged",IF(R125&gt;0,"delayed","accelerated"))))</f>
        <v/>
      </c>
    </row>
    <row r="126">
      <c r="A126" s="2" t="n"/>
      <c r="B126" s="2" t="n"/>
      <c r="C126" s="2" t="n"/>
      <c r="D126" s="2" t="n"/>
      <c r="E126" s="2" t="n"/>
      <c r="F126" s="2" t="n"/>
      <c r="G126" s="3" t="n"/>
      <c r="H126" s="2" t="n"/>
      <c r="I126" s="3" t="n"/>
      <c r="J126" s="2" t="n"/>
      <c r="K126" s="2" t="n"/>
      <c r="L126" s="2" t="n"/>
      <c r="M126" s="2" t="n"/>
      <c r="N126" s="2" t="n"/>
      <c r="O126" s="2" t="n"/>
      <c r="P126" s="2" t="n"/>
      <c r="Q126" s="4">
        <f>IF(OR(A126="",E126=""),"",IF(MAXIFS($E$2:$E$1001,$A$2:$A$1001,A126,$E$2:$E$1001,"&lt;"&amp;E126)=0,"",SUMIFS($G$2:$G$1001,$A$2:$A$1001,A126,$E$2:$E$1001,MAXIFS($E$2:$E$1001,$A$2:$A$1001,A126,$E$2:$E$1001,"&lt;"&amp;E126))))</f>
        <v/>
      </c>
      <c r="R126" s="9">
        <f>IF(OR(Q126="",G126=""),"",G126-Q126)</f>
        <v/>
      </c>
      <c r="S126" s="9">
        <f>IF(R126="","",SUMIFS($R$2:$R$1001,$A$2:$A$1001,A126,$E$2:$E$1001,"&lt;="&amp;E126))</f>
        <v/>
      </c>
      <c r="T126" s="5">
        <f>IF(A126="","",IF(R126="","initial",IF(ABS(R126)&lt;=ShiftThresholdDays,"unchanged",IF(R126&gt;0,"delayed","accelerated"))))</f>
        <v/>
      </c>
    </row>
    <row r="127">
      <c r="A127" s="2" t="n"/>
      <c r="B127" s="2" t="n"/>
      <c r="C127" s="2" t="n"/>
      <c r="D127" s="2" t="n"/>
      <c r="E127" s="2" t="n"/>
      <c r="F127" s="2" t="n"/>
      <c r="G127" s="3" t="n"/>
      <c r="H127" s="2" t="n"/>
      <c r="I127" s="3" t="n"/>
      <c r="J127" s="2" t="n"/>
      <c r="K127" s="2" t="n"/>
      <c r="L127" s="2" t="n"/>
      <c r="M127" s="2" t="n"/>
      <c r="N127" s="2" t="n"/>
      <c r="O127" s="2" t="n"/>
      <c r="P127" s="2" t="n"/>
      <c r="Q127" s="4">
        <f>IF(OR(A127="",E127=""),"",IF(MAXIFS($E$2:$E$1001,$A$2:$A$1001,A127,$E$2:$E$1001,"&lt;"&amp;E127)=0,"",SUMIFS($G$2:$G$1001,$A$2:$A$1001,A127,$E$2:$E$1001,MAXIFS($E$2:$E$1001,$A$2:$A$1001,A127,$E$2:$E$1001,"&lt;"&amp;E127))))</f>
        <v/>
      </c>
      <c r="R127" s="9">
        <f>IF(OR(Q127="",G127=""),"",G127-Q127)</f>
        <v/>
      </c>
      <c r="S127" s="9">
        <f>IF(R127="","",SUMIFS($R$2:$R$1001,$A$2:$A$1001,A127,$E$2:$E$1001,"&lt;="&amp;E127))</f>
        <v/>
      </c>
      <c r="T127" s="5">
        <f>IF(A127="","",IF(R127="","initial",IF(ABS(R127)&lt;=ShiftThresholdDays,"unchanged",IF(R127&gt;0,"delayed","accelerated"))))</f>
        <v/>
      </c>
    </row>
    <row r="128">
      <c r="A128" s="2" t="n"/>
      <c r="B128" s="2" t="n"/>
      <c r="C128" s="2" t="n"/>
      <c r="D128" s="2" t="n"/>
      <c r="E128" s="2" t="n"/>
      <c r="F128" s="2" t="n"/>
      <c r="G128" s="3" t="n"/>
      <c r="H128" s="2" t="n"/>
      <c r="I128" s="3" t="n"/>
      <c r="J128" s="2" t="n"/>
      <c r="K128" s="2" t="n"/>
      <c r="L128" s="2" t="n"/>
      <c r="M128" s="2" t="n"/>
      <c r="N128" s="2" t="n"/>
      <c r="O128" s="2" t="n"/>
      <c r="P128" s="2" t="n"/>
      <c r="Q128" s="4">
        <f>IF(OR(A128="",E128=""),"",IF(MAXIFS($E$2:$E$1001,$A$2:$A$1001,A128,$E$2:$E$1001,"&lt;"&amp;E128)=0,"",SUMIFS($G$2:$G$1001,$A$2:$A$1001,A128,$E$2:$E$1001,MAXIFS($E$2:$E$1001,$A$2:$A$1001,A128,$E$2:$E$1001,"&lt;"&amp;E128))))</f>
        <v/>
      </c>
      <c r="R128" s="9">
        <f>IF(OR(Q128="",G128=""),"",G128-Q128)</f>
        <v/>
      </c>
      <c r="S128" s="9">
        <f>IF(R128="","",SUMIFS($R$2:$R$1001,$A$2:$A$1001,A128,$E$2:$E$1001,"&lt;="&amp;E128))</f>
        <v/>
      </c>
      <c r="T128" s="5">
        <f>IF(A128="","",IF(R128="","initial",IF(ABS(R128)&lt;=ShiftThresholdDays,"unchanged",IF(R128&gt;0,"delayed","accelerated"))))</f>
        <v/>
      </c>
    </row>
    <row r="129">
      <c r="A129" s="2" t="n"/>
      <c r="B129" s="2" t="n"/>
      <c r="C129" s="2" t="n"/>
      <c r="D129" s="2" t="n"/>
      <c r="E129" s="2" t="n"/>
      <c r="F129" s="2" t="n"/>
      <c r="G129" s="3" t="n"/>
      <c r="H129" s="2" t="n"/>
      <c r="I129" s="3" t="n"/>
      <c r="J129" s="2" t="n"/>
      <c r="K129" s="2" t="n"/>
      <c r="L129" s="2" t="n"/>
      <c r="M129" s="2" t="n"/>
      <c r="N129" s="2" t="n"/>
      <c r="O129" s="2" t="n"/>
      <c r="P129" s="2" t="n"/>
      <c r="Q129" s="4">
        <f>IF(OR(A129="",E129=""),"",IF(MAXIFS($E$2:$E$1001,$A$2:$A$1001,A129,$E$2:$E$1001,"&lt;"&amp;E129)=0,"",SUMIFS($G$2:$G$1001,$A$2:$A$1001,A129,$E$2:$E$1001,MAXIFS($E$2:$E$1001,$A$2:$A$1001,A129,$E$2:$E$1001,"&lt;"&amp;E129))))</f>
        <v/>
      </c>
      <c r="R129" s="9">
        <f>IF(OR(Q129="",G129=""),"",G129-Q129)</f>
        <v/>
      </c>
      <c r="S129" s="9">
        <f>IF(R129="","",SUMIFS($R$2:$R$1001,$A$2:$A$1001,A129,$E$2:$E$1001,"&lt;="&amp;E129))</f>
        <v/>
      </c>
      <c r="T129" s="5">
        <f>IF(A129="","",IF(R129="","initial",IF(ABS(R129)&lt;=ShiftThresholdDays,"unchanged",IF(R129&gt;0,"delayed","accelerated"))))</f>
        <v/>
      </c>
    </row>
    <row r="130">
      <c r="A130" s="2" t="n"/>
      <c r="B130" s="2" t="n"/>
      <c r="C130" s="2" t="n"/>
      <c r="D130" s="2" t="n"/>
      <c r="E130" s="2" t="n"/>
      <c r="F130" s="2" t="n"/>
      <c r="G130" s="3" t="n"/>
      <c r="H130" s="2" t="n"/>
      <c r="I130" s="3" t="n"/>
      <c r="J130" s="2" t="n"/>
      <c r="K130" s="2" t="n"/>
      <c r="L130" s="2" t="n"/>
      <c r="M130" s="2" t="n"/>
      <c r="N130" s="2" t="n"/>
      <c r="O130" s="2" t="n"/>
      <c r="P130" s="2" t="n"/>
      <c r="Q130" s="4">
        <f>IF(OR(A130="",E130=""),"",IF(MAXIFS($E$2:$E$1001,$A$2:$A$1001,A130,$E$2:$E$1001,"&lt;"&amp;E130)=0,"",SUMIFS($G$2:$G$1001,$A$2:$A$1001,A130,$E$2:$E$1001,MAXIFS($E$2:$E$1001,$A$2:$A$1001,A130,$E$2:$E$1001,"&lt;"&amp;E130))))</f>
        <v/>
      </c>
      <c r="R130" s="9">
        <f>IF(OR(Q130="",G130=""),"",G130-Q130)</f>
        <v/>
      </c>
      <c r="S130" s="9">
        <f>IF(R130="","",SUMIFS($R$2:$R$1001,$A$2:$A$1001,A130,$E$2:$E$1001,"&lt;="&amp;E130))</f>
        <v/>
      </c>
      <c r="T130" s="5">
        <f>IF(A130="","",IF(R130="","initial",IF(ABS(R130)&lt;=ShiftThresholdDays,"unchanged",IF(R130&gt;0,"delayed","accelerated"))))</f>
        <v/>
      </c>
    </row>
    <row r="131">
      <c r="A131" s="2" t="n"/>
      <c r="B131" s="2" t="n"/>
      <c r="C131" s="2" t="n"/>
      <c r="D131" s="2" t="n"/>
      <c r="E131" s="2" t="n"/>
      <c r="F131" s="2" t="n"/>
      <c r="G131" s="3" t="n"/>
      <c r="H131" s="2" t="n"/>
      <c r="I131" s="3" t="n"/>
      <c r="J131" s="2" t="n"/>
      <c r="K131" s="2" t="n"/>
      <c r="L131" s="2" t="n"/>
      <c r="M131" s="2" t="n"/>
      <c r="N131" s="2" t="n"/>
      <c r="O131" s="2" t="n"/>
      <c r="P131" s="2" t="n"/>
      <c r="Q131" s="4">
        <f>IF(OR(A131="",E131=""),"",IF(MAXIFS($E$2:$E$1001,$A$2:$A$1001,A131,$E$2:$E$1001,"&lt;"&amp;E131)=0,"",SUMIFS($G$2:$G$1001,$A$2:$A$1001,A131,$E$2:$E$1001,MAXIFS($E$2:$E$1001,$A$2:$A$1001,A131,$E$2:$E$1001,"&lt;"&amp;E131))))</f>
        <v/>
      </c>
      <c r="R131" s="9">
        <f>IF(OR(Q131="",G131=""),"",G131-Q131)</f>
        <v/>
      </c>
      <c r="S131" s="9">
        <f>IF(R131="","",SUMIFS($R$2:$R$1001,$A$2:$A$1001,A131,$E$2:$E$1001,"&lt;="&amp;E131))</f>
        <v/>
      </c>
      <c r="T131" s="5">
        <f>IF(A131="","",IF(R131="","initial",IF(ABS(R131)&lt;=ShiftThresholdDays,"unchanged",IF(R131&gt;0,"delayed","accelerated"))))</f>
        <v/>
      </c>
    </row>
    <row r="132">
      <c r="A132" s="2" t="n"/>
      <c r="B132" s="2" t="n"/>
      <c r="C132" s="2" t="n"/>
      <c r="D132" s="2" t="n"/>
      <c r="E132" s="2" t="n"/>
      <c r="F132" s="2" t="n"/>
      <c r="G132" s="3" t="n"/>
      <c r="H132" s="2" t="n"/>
      <c r="I132" s="3" t="n"/>
      <c r="J132" s="2" t="n"/>
      <c r="K132" s="2" t="n"/>
      <c r="L132" s="2" t="n"/>
      <c r="M132" s="2" t="n"/>
      <c r="N132" s="2" t="n"/>
      <c r="O132" s="2" t="n"/>
      <c r="P132" s="2" t="n"/>
      <c r="Q132" s="4">
        <f>IF(OR(A132="",E132=""),"",IF(MAXIFS($E$2:$E$1001,$A$2:$A$1001,A132,$E$2:$E$1001,"&lt;"&amp;E132)=0,"",SUMIFS($G$2:$G$1001,$A$2:$A$1001,A132,$E$2:$E$1001,MAXIFS($E$2:$E$1001,$A$2:$A$1001,A132,$E$2:$E$1001,"&lt;"&amp;E132))))</f>
        <v/>
      </c>
      <c r="R132" s="9">
        <f>IF(OR(Q132="",G132=""),"",G132-Q132)</f>
        <v/>
      </c>
      <c r="S132" s="9">
        <f>IF(R132="","",SUMIFS($R$2:$R$1001,$A$2:$A$1001,A132,$E$2:$E$1001,"&lt;="&amp;E132))</f>
        <v/>
      </c>
      <c r="T132" s="5">
        <f>IF(A132="","",IF(R132="","initial",IF(ABS(R132)&lt;=ShiftThresholdDays,"unchanged",IF(R132&gt;0,"delayed","accelerated"))))</f>
        <v/>
      </c>
    </row>
    <row r="133">
      <c r="A133" s="2" t="n"/>
      <c r="B133" s="2" t="n"/>
      <c r="C133" s="2" t="n"/>
      <c r="D133" s="2" t="n"/>
      <c r="E133" s="2" t="n"/>
      <c r="F133" s="2" t="n"/>
      <c r="G133" s="3" t="n"/>
      <c r="H133" s="2" t="n"/>
      <c r="I133" s="3" t="n"/>
      <c r="J133" s="2" t="n"/>
      <c r="K133" s="2" t="n"/>
      <c r="L133" s="2" t="n"/>
      <c r="M133" s="2" t="n"/>
      <c r="N133" s="2" t="n"/>
      <c r="O133" s="2" t="n"/>
      <c r="P133" s="2" t="n"/>
      <c r="Q133" s="4">
        <f>IF(OR(A133="",E133=""),"",IF(MAXIFS($E$2:$E$1001,$A$2:$A$1001,A133,$E$2:$E$1001,"&lt;"&amp;E133)=0,"",SUMIFS($G$2:$G$1001,$A$2:$A$1001,A133,$E$2:$E$1001,MAXIFS($E$2:$E$1001,$A$2:$A$1001,A133,$E$2:$E$1001,"&lt;"&amp;E133))))</f>
        <v/>
      </c>
      <c r="R133" s="9">
        <f>IF(OR(Q133="",G133=""),"",G133-Q133)</f>
        <v/>
      </c>
      <c r="S133" s="9">
        <f>IF(R133="","",SUMIFS($R$2:$R$1001,$A$2:$A$1001,A133,$E$2:$E$1001,"&lt;="&amp;E133))</f>
        <v/>
      </c>
      <c r="T133" s="5">
        <f>IF(A133="","",IF(R133="","initial",IF(ABS(R133)&lt;=ShiftThresholdDays,"unchanged",IF(R133&gt;0,"delayed","accelerated"))))</f>
        <v/>
      </c>
    </row>
    <row r="134">
      <c r="A134" s="2" t="n"/>
      <c r="B134" s="2" t="n"/>
      <c r="C134" s="2" t="n"/>
      <c r="D134" s="2" t="n"/>
      <c r="E134" s="2" t="n"/>
      <c r="F134" s="2" t="n"/>
      <c r="G134" s="3" t="n"/>
      <c r="H134" s="2" t="n"/>
      <c r="I134" s="3" t="n"/>
      <c r="J134" s="2" t="n"/>
      <c r="K134" s="2" t="n"/>
      <c r="L134" s="2" t="n"/>
      <c r="M134" s="2" t="n"/>
      <c r="N134" s="2" t="n"/>
      <c r="O134" s="2" t="n"/>
      <c r="P134" s="2" t="n"/>
      <c r="Q134" s="4">
        <f>IF(OR(A134="",E134=""),"",IF(MAXIFS($E$2:$E$1001,$A$2:$A$1001,A134,$E$2:$E$1001,"&lt;"&amp;E134)=0,"",SUMIFS($G$2:$G$1001,$A$2:$A$1001,A134,$E$2:$E$1001,MAXIFS($E$2:$E$1001,$A$2:$A$1001,A134,$E$2:$E$1001,"&lt;"&amp;E134))))</f>
        <v/>
      </c>
      <c r="R134" s="9">
        <f>IF(OR(Q134="",G134=""),"",G134-Q134)</f>
        <v/>
      </c>
      <c r="S134" s="9">
        <f>IF(R134="","",SUMIFS($R$2:$R$1001,$A$2:$A$1001,A134,$E$2:$E$1001,"&lt;="&amp;E134))</f>
        <v/>
      </c>
      <c r="T134" s="5">
        <f>IF(A134="","",IF(R134="","initial",IF(ABS(R134)&lt;=ShiftThresholdDays,"unchanged",IF(R134&gt;0,"delayed","accelerated"))))</f>
        <v/>
      </c>
    </row>
    <row r="135">
      <c r="A135" s="2" t="n"/>
      <c r="B135" s="2" t="n"/>
      <c r="C135" s="2" t="n"/>
      <c r="D135" s="2" t="n"/>
      <c r="E135" s="2" t="n"/>
      <c r="F135" s="2" t="n"/>
      <c r="G135" s="3" t="n"/>
      <c r="H135" s="2" t="n"/>
      <c r="I135" s="3" t="n"/>
      <c r="J135" s="2" t="n"/>
      <c r="K135" s="2" t="n"/>
      <c r="L135" s="2" t="n"/>
      <c r="M135" s="2" t="n"/>
      <c r="N135" s="2" t="n"/>
      <c r="O135" s="2" t="n"/>
      <c r="P135" s="2" t="n"/>
      <c r="Q135" s="4">
        <f>IF(OR(A135="",E135=""),"",IF(MAXIFS($E$2:$E$1001,$A$2:$A$1001,A135,$E$2:$E$1001,"&lt;"&amp;E135)=0,"",SUMIFS($G$2:$G$1001,$A$2:$A$1001,A135,$E$2:$E$1001,MAXIFS($E$2:$E$1001,$A$2:$A$1001,A135,$E$2:$E$1001,"&lt;"&amp;E135))))</f>
        <v/>
      </c>
      <c r="R135" s="9">
        <f>IF(OR(Q135="",G135=""),"",G135-Q135)</f>
        <v/>
      </c>
      <c r="S135" s="9">
        <f>IF(R135="","",SUMIFS($R$2:$R$1001,$A$2:$A$1001,A135,$E$2:$E$1001,"&lt;="&amp;E135))</f>
        <v/>
      </c>
      <c r="T135" s="5">
        <f>IF(A135="","",IF(R135="","initial",IF(ABS(R135)&lt;=ShiftThresholdDays,"unchanged",IF(R135&gt;0,"delayed","accelerated"))))</f>
        <v/>
      </c>
    </row>
    <row r="136">
      <c r="A136" s="2" t="n"/>
      <c r="B136" s="2" t="n"/>
      <c r="C136" s="2" t="n"/>
      <c r="D136" s="2" t="n"/>
      <c r="E136" s="2" t="n"/>
      <c r="F136" s="2" t="n"/>
      <c r="G136" s="3" t="n"/>
      <c r="H136" s="2" t="n"/>
      <c r="I136" s="3" t="n"/>
      <c r="J136" s="2" t="n"/>
      <c r="K136" s="2" t="n"/>
      <c r="L136" s="2" t="n"/>
      <c r="M136" s="2" t="n"/>
      <c r="N136" s="2" t="n"/>
      <c r="O136" s="2" t="n"/>
      <c r="P136" s="2" t="n"/>
      <c r="Q136" s="4">
        <f>IF(OR(A136="",E136=""),"",IF(MAXIFS($E$2:$E$1001,$A$2:$A$1001,A136,$E$2:$E$1001,"&lt;"&amp;E136)=0,"",SUMIFS($G$2:$G$1001,$A$2:$A$1001,A136,$E$2:$E$1001,MAXIFS($E$2:$E$1001,$A$2:$A$1001,A136,$E$2:$E$1001,"&lt;"&amp;E136))))</f>
        <v/>
      </c>
      <c r="R136" s="9">
        <f>IF(OR(Q136="",G136=""),"",G136-Q136)</f>
        <v/>
      </c>
      <c r="S136" s="9">
        <f>IF(R136="","",SUMIFS($R$2:$R$1001,$A$2:$A$1001,A136,$E$2:$E$1001,"&lt;="&amp;E136))</f>
        <v/>
      </c>
      <c r="T136" s="5">
        <f>IF(A136="","",IF(R136="","initial",IF(ABS(R136)&lt;=ShiftThresholdDays,"unchanged",IF(R136&gt;0,"delayed","accelerated"))))</f>
        <v/>
      </c>
    </row>
    <row r="137">
      <c r="A137" s="2" t="n"/>
      <c r="B137" s="2" t="n"/>
      <c r="C137" s="2" t="n"/>
      <c r="D137" s="2" t="n"/>
      <c r="E137" s="2" t="n"/>
      <c r="F137" s="2" t="n"/>
      <c r="G137" s="3" t="n"/>
      <c r="H137" s="2" t="n"/>
      <c r="I137" s="3" t="n"/>
      <c r="J137" s="2" t="n"/>
      <c r="K137" s="2" t="n"/>
      <c r="L137" s="2" t="n"/>
      <c r="M137" s="2" t="n"/>
      <c r="N137" s="2" t="n"/>
      <c r="O137" s="2" t="n"/>
      <c r="P137" s="2" t="n"/>
      <c r="Q137" s="4">
        <f>IF(OR(A137="",E137=""),"",IF(MAXIFS($E$2:$E$1001,$A$2:$A$1001,A137,$E$2:$E$1001,"&lt;"&amp;E137)=0,"",SUMIFS($G$2:$G$1001,$A$2:$A$1001,A137,$E$2:$E$1001,MAXIFS($E$2:$E$1001,$A$2:$A$1001,A137,$E$2:$E$1001,"&lt;"&amp;E137))))</f>
        <v/>
      </c>
      <c r="R137" s="9">
        <f>IF(OR(Q137="",G137=""),"",G137-Q137)</f>
        <v/>
      </c>
      <c r="S137" s="9">
        <f>IF(R137="","",SUMIFS($R$2:$R$1001,$A$2:$A$1001,A137,$E$2:$E$1001,"&lt;="&amp;E137))</f>
        <v/>
      </c>
      <c r="T137" s="5">
        <f>IF(A137="","",IF(R137="","initial",IF(ABS(R137)&lt;=ShiftThresholdDays,"unchanged",IF(R137&gt;0,"delayed","accelerated"))))</f>
        <v/>
      </c>
    </row>
    <row r="138">
      <c r="A138" s="2" t="n"/>
      <c r="B138" s="2" t="n"/>
      <c r="C138" s="2" t="n"/>
      <c r="D138" s="2" t="n"/>
      <c r="E138" s="2" t="n"/>
      <c r="F138" s="2" t="n"/>
      <c r="G138" s="3" t="n"/>
      <c r="H138" s="2" t="n"/>
      <c r="I138" s="3" t="n"/>
      <c r="J138" s="2" t="n"/>
      <c r="K138" s="2" t="n"/>
      <c r="L138" s="2" t="n"/>
      <c r="M138" s="2" t="n"/>
      <c r="N138" s="2" t="n"/>
      <c r="O138" s="2" t="n"/>
      <c r="P138" s="2" t="n"/>
      <c r="Q138" s="4">
        <f>IF(OR(A138="",E138=""),"",IF(MAXIFS($E$2:$E$1001,$A$2:$A$1001,A138,$E$2:$E$1001,"&lt;"&amp;E138)=0,"",SUMIFS($G$2:$G$1001,$A$2:$A$1001,A138,$E$2:$E$1001,MAXIFS($E$2:$E$1001,$A$2:$A$1001,A138,$E$2:$E$1001,"&lt;"&amp;E138))))</f>
        <v/>
      </c>
      <c r="R138" s="9">
        <f>IF(OR(Q138="",G138=""),"",G138-Q138)</f>
        <v/>
      </c>
      <c r="S138" s="9">
        <f>IF(R138="","",SUMIFS($R$2:$R$1001,$A$2:$A$1001,A138,$E$2:$E$1001,"&lt;="&amp;E138))</f>
        <v/>
      </c>
      <c r="T138" s="5">
        <f>IF(A138="","",IF(R138="","initial",IF(ABS(R138)&lt;=ShiftThresholdDays,"unchanged",IF(R138&gt;0,"delayed","accelerated"))))</f>
        <v/>
      </c>
    </row>
    <row r="139">
      <c r="A139" s="2" t="n"/>
      <c r="B139" s="2" t="n"/>
      <c r="C139" s="2" t="n"/>
      <c r="D139" s="2" t="n"/>
      <c r="E139" s="2" t="n"/>
      <c r="F139" s="2" t="n"/>
      <c r="G139" s="3" t="n"/>
      <c r="H139" s="2" t="n"/>
      <c r="I139" s="3" t="n"/>
      <c r="J139" s="2" t="n"/>
      <c r="K139" s="2" t="n"/>
      <c r="L139" s="2" t="n"/>
      <c r="M139" s="2" t="n"/>
      <c r="N139" s="2" t="n"/>
      <c r="O139" s="2" t="n"/>
      <c r="P139" s="2" t="n"/>
      <c r="Q139" s="4">
        <f>IF(OR(A139="",E139=""),"",IF(MAXIFS($E$2:$E$1001,$A$2:$A$1001,A139,$E$2:$E$1001,"&lt;"&amp;E139)=0,"",SUMIFS($G$2:$G$1001,$A$2:$A$1001,A139,$E$2:$E$1001,MAXIFS($E$2:$E$1001,$A$2:$A$1001,A139,$E$2:$E$1001,"&lt;"&amp;E139))))</f>
        <v/>
      </c>
      <c r="R139" s="9">
        <f>IF(OR(Q139="",G139=""),"",G139-Q139)</f>
        <v/>
      </c>
      <c r="S139" s="9">
        <f>IF(R139="","",SUMIFS($R$2:$R$1001,$A$2:$A$1001,A139,$E$2:$E$1001,"&lt;="&amp;E139))</f>
        <v/>
      </c>
      <c r="T139" s="5">
        <f>IF(A139="","",IF(R139="","initial",IF(ABS(R139)&lt;=ShiftThresholdDays,"unchanged",IF(R139&gt;0,"delayed","accelerated"))))</f>
        <v/>
      </c>
    </row>
    <row r="140">
      <c r="A140" s="2" t="n"/>
      <c r="B140" s="2" t="n"/>
      <c r="C140" s="2" t="n"/>
      <c r="D140" s="2" t="n"/>
      <c r="E140" s="2" t="n"/>
      <c r="F140" s="2" t="n"/>
      <c r="G140" s="3" t="n"/>
      <c r="H140" s="2" t="n"/>
      <c r="I140" s="3" t="n"/>
      <c r="J140" s="2" t="n"/>
      <c r="K140" s="2" t="n"/>
      <c r="L140" s="2" t="n"/>
      <c r="M140" s="2" t="n"/>
      <c r="N140" s="2" t="n"/>
      <c r="O140" s="2" t="n"/>
      <c r="P140" s="2" t="n"/>
      <c r="Q140" s="4">
        <f>IF(OR(A140="",E140=""),"",IF(MAXIFS($E$2:$E$1001,$A$2:$A$1001,A140,$E$2:$E$1001,"&lt;"&amp;E140)=0,"",SUMIFS($G$2:$G$1001,$A$2:$A$1001,A140,$E$2:$E$1001,MAXIFS($E$2:$E$1001,$A$2:$A$1001,A140,$E$2:$E$1001,"&lt;"&amp;E140))))</f>
        <v/>
      </c>
      <c r="R140" s="9">
        <f>IF(OR(Q140="",G140=""),"",G140-Q140)</f>
        <v/>
      </c>
      <c r="S140" s="9">
        <f>IF(R140="","",SUMIFS($R$2:$R$1001,$A$2:$A$1001,A140,$E$2:$E$1001,"&lt;="&amp;E140))</f>
        <v/>
      </c>
      <c r="T140" s="5">
        <f>IF(A140="","",IF(R140="","initial",IF(ABS(R140)&lt;=ShiftThresholdDays,"unchanged",IF(R140&gt;0,"delayed","accelerated"))))</f>
        <v/>
      </c>
    </row>
    <row r="141">
      <c r="A141" s="2" t="n"/>
      <c r="B141" s="2" t="n"/>
      <c r="C141" s="2" t="n"/>
      <c r="D141" s="2" t="n"/>
      <c r="E141" s="2" t="n"/>
      <c r="F141" s="2" t="n"/>
      <c r="G141" s="3" t="n"/>
      <c r="H141" s="2" t="n"/>
      <c r="I141" s="3" t="n"/>
      <c r="J141" s="2" t="n"/>
      <c r="K141" s="2" t="n"/>
      <c r="L141" s="2" t="n"/>
      <c r="M141" s="2" t="n"/>
      <c r="N141" s="2" t="n"/>
      <c r="O141" s="2" t="n"/>
      <c r="P141" s="2" t="n"/>
      <c r="Q141" s="4">
        <f>IF(OR(A141="",E141=""),"",IF(MAXIFS($E$2:$E$1001,$A$2:$A$1001,A141,$E$2:$E$1001,"&lt;"&amp;E141)=0,"",SUMIFS($G$2:$G$1001,$A$2:$A$1001,A141,$E$2:$E$1001,MAXIFS($E$2:$E$1001,$A$2:$A$1001,A141,$E$2:$E$1001,"&lt;"&amp;E141))))</f>
        <v/>
      </c>
      <c r="R141" s="9">
        <f>IF(OR(Q141="",G141=""),"",G141-Q141)</f>
        <v/>
      </c>
      <c r="S141" s="9">
        <f>IF(R141="","",SUMIFS($R$2:$R$1001,$A$2:$A$1001,A141,$E$2:$E$1001,"&lt;="&amp;E141))</f>
        <v/>
      </c>
      <c r="T141" s="5">
        <f>IF(A141="","",IF(R141="","initial",IF(ABS(R141)&lt;=ShiftThresholdDays,"unchanged",IF(R141&gt;0,"delayed","accelerated"))))</f>
        <v/>
      </c>
    </row>
    <row r="142">
      <c r="A142" s="2" t="n"/>
      <c r="B142" s="2" t="n"/>
      <c r="C142" s="2" t="n"/>
      <c r="D142" s="2" t="n"/>
      <c r="E142" s="2" t="n"/>
      <c r="F142" s="2" t="n"/>
      <c r="G142" s="3" t="n"/>
      <c r="H142" s="2" t="n"/>
      <c r="I142" s="3" t="n"/>
      <c r="J142" s="2" t="n"/>
      <c r="K142" s="2" t="n"/>
      <c r="L142" s="2" t="n"/>
      <c r="M142" s="2" t="n"/>
      <c r="N142" s="2" t="n"/>
      <c r="O142" s="2" t="n"/>
      <c r="P142" s="2" t="n"/>
      <c r="Q142" s="4">
        <f>IF(OR(A142="",E142=""),"",IF(MAXIFS($E$2:$E$1001,$A$2:$A$1001,A142,$E$2:$E$1001,"&lt;"&amp;E142)=0,"",SUMIFS($G$2:$G$1001,$A$2:$A$1001,A142,$E$2:$E$1001,MAXIFS($E$2:$E$1001,$A$2:$A$1001,A142,$E$2:$E$1001,"&lt;"&amp;E142))))</f>
        <v/>
      </c>
      <c r="R142" s="9">
        <f>IF(OR(Q142="",G142=""),"",G142-Q142)</f>
        <v/>
      </c>
      <c r="S142" s="9">
        <f>IF(R142="","",SUMIFS($R$2:$R$1001,$A$2:$A$1001,A142,$E$2:$E$1001,"&lt;="&amp;E142))</f>
        <v/>
      </c>
      <c r="T142" s="5">
        <f>IF(A142="","",IF(R142="","initial",IF(ABS(R142)&lt;=ShiftThresholdDays,"unchanged",IF(R142&gt;0,"delayed","accelerated"))))</f>
        <v/>
      </c>
    </row>
    <row r="143">
      <c r="A143" s="2" t="n"/>
      <c r="B143" s="2" t="n"/>
      <c r="C143" s="2" t="n"/>
      <c r="D143" s="2" t="n"/>
      <c r="E143" s="2" t="n"/>
      <c r="F143" s="2" t="n"/>
      <c r="G143" s="3" t="n"/>
      <c r="H143" s="2" t="n"/>
      <c r="I143" s="3" t="n"/>
      <c r="J143" s="2" t="n"/>
      <c r="K143" s="2" t="n"/>
      <c r="L143" s="2" t="n"/>
      <c r="M143" s="2" t="n"/>
      <c r="N143" s="2" t="n"/>
      <c r="O143" s="2" t="n"/>
      <c r="P143" s="2" t="n"/>
      <c r="Q143" s="4">
        <f>IF(OR(A143="",E143=""),"",IF(MAXIFS($E$2:$E$1001,$A$2:$A$1001,A143,$E$2:$E$1001,"&lt;"&amp;E143)=0,"",SUMIFS($G$2:$G$1001,$A$2:$A$1001,A143,$E$2:$E$1001,MAXIFS($E$2:$E$1001,$A$2:$A$1001,A143,$E$2:$E$1001,"&lt;"&amp;E143))))</f>
        <v/>
      </c>
      <c r="R143" s="9">
        <f>IF(OR(Q143="",G143=""),"",G143-Q143)</f>
        <v/>
      </c>
      <c r="S143" s="9">
        <f>IF(R143="","",SUMIFS($R$2:$R$1001,$A$2:$A$1001,A143,$E$2:$E$1001,"&lt;="&amp;E143))</f>
        <v/>
      </c>
      <c r="T143" s="5">
        <f>IF(A143="","",IF(R143="","initial",IF(ABS(R143)&lt;=ShiftThresholdDays,"unchanged",IF(R143&gt;0,"delayed","accelerated"))))</f>
        <v/>
      </c>
    </row>
    <row r="144">
      <c r="A144" s="2" t="n"/>
      <c r="B144" s="2" t="n"/>
      <c r="C144" s="2" t="n"/>
      <c r="D144" s="2" t="n"/>
      <c r="E144" s="2" t="n"/>
      <c r="F144" s="2" t="n"/>
      <c r="G144" s="3" t="n"/>
      <c r="H144" s="2" t="n"/>
      <c r="I144" s="3" t="n"/>
      <c r="J144" s="2" t="n"/>
      <c r="K144" s="2" t="n"/>
      <c r="L144" s="2" t="n"/>
      <c r="M144" s="2" t="n"/>
      <c r="N144" s="2" t="n"/>
      <c r="O144" s="2" t="n"/>
      <c r="P144" s="2" t="n"/>
      <c r="Q144" s="4">
        <f>IF(OR(A144="",E144=""),"",IF(MAXIFS($E$2:$E$1001,$A$2:$A$1001,A144,$E$2:$E$1001,"&lt;"&amp;E144)=0,"",SUMIFS($G$2:$G$1001,$A$2:$A$1001,A144,$E$2:$E$1001,MAXIFS($E$2:$E$1001,$A$2:$A$1001,A144,$E$2:$E$1001,"&lt;"&amp;E144))))</f>
        <v/>
      </c>
      <c r="R144" s="9">
        <f>IF(OR(Q144="",G144=""),"",G144-Q144)</f>
        <v/>
      </c>
      <c r="S144" s="9">
        <f>IF(R144="","",SUMIFS($R$2:$R$1001,$A$2:$A$1001,A144,$E$2:$E$1001,"&lt;="&amp;E144))</f>
        <v/>
      </c>
      <c r="T144" s="5">
        <f>IF(A144="","",IF(R144="","initial",IF(ABS(R144)&lt;=ShiftThresholdDays,"unchanged",IF(R144&gt;0,"delayed","accelerated"))))</f>
        <v/>
      </c>
    </row>
    <row r="145">
      <c r="A145" s="2" t="n"/>
      <c r="B145" s="2" t="n"/>
      <c r="C145" s="2" t="n"/>
      <c r="D145" s="2" t="n"/>
      <c r="E145" s="2" t="n"/>
      <c r="F145" s="2" t="n"/>
      <c r="G145" s="3" t="n"/>
      <c r="H145" s="2" t="n"/>
      <c r="I145" s="3" t="n"/>
      <c r="J145" s="2" t="n"/>
      <c r="K145" s="2" t="n"/>
      <c r="L145" s="2" t="n"/>
      <c r="M145" s="2" t="n"/>
      <c r="N145" s="2" t="n"/>
      <c r="O145" s="2" t="n"/>
      <c r="P145" s="2" t="n"/>
      <c r="Q145" s="4">
        <f>IF(OR(A145="",E145=""),"",IF(MAXIFS($E$2:$E$1001,$A$2:$A$1001,A145,$E$2:$E$1001,"&lt;"&amp;E145)=0,"",SUMIFS($G$2:$G$1001,$A$2:$A$1001,A145,$E$2:$E$1001,MAXIFS($E$2:$E$1001,$A$2:$A$1001,A145,$E$2:$E$1001,"&lt;"&amp;E145))))</f>
        <v/>
      </c>
      <c r="R145" s="9">
        <f>IF(OR(Q145="",G145=""),"",G145-Q145)</f>
        <v/>
      </c>
      <c r="S145" s="9">
        <f>IF(R145="","",SUMIFS($R$2:$R$1001,$A$2:$A$1001,A145,$E$2:$E$1001,"&lt;="&amp;E145))</f>
        <v/>
      </c>
      <c r="T145" s="5">
        <f>IF(A145="","",IF(R145="","initial",IF(ABS(R145)&lt;=ShiftThresholdDays,"unchanged",IF(R145&gt;0,"delayed","accelerated"))))</f>
        <v/>
      </c>
    </row>
    <row r="146">
      <c r="A146" s="2" t="n"/>
      <c r="B146" s="2" t="n"/>
      <c r="C146" s="2" t="n"/>
      <c r="D146" s="2" t="n"/>
      <c r="E146" s="2" t="n"/>
      <c r="F146" s="2" t="n"/>
      <c r="G146" s="3" t="n"/>
      <c r="H146" s="2" t="n"/>
      <c r="I146" s="3" t="n"/>
      <c r="J146" s="2" t="n"/>
      <c r="K146" s="2" t="n"/>
      <c r="L146" s="2" t="n"/>
      <c r="M146" s="2" t="n"/>
      <c r="N146" s="2" t="n"/>
      <c r="O146" s="2" t="n"/>
      <c r="P146" s="2" t="n"/>
      <c r="Q146" s="4">
        <f>IF(OR(A146="",E146=""),"",IF(MAXIFS($E$2:$E$1001,$A$2:$A$1001,A146,$E$2:$E$1001,"&lt;"&amp;E146)=0,"",SUMIFS($G$2:$G$1001,$A$2:$A$1001,A146,$E$2:$E$1001,MAXIFS($E$2:$E$1001,$A$2:$A$1001,A146,$E$2:$E$1001,"&lt;"&amp;E146))))</f>
        <v/>
      </c>
      <c r="R146" s="9">
        <f>IF(OR(Q146="",G146=""),"",G146-Q146)</f>
        <v/>
      </c>
      <c r="S146" s="9">
        <f>IF(R146="","",SUMIFS($R$2:$R$1001,$A$2:$A$1001,A146,$E$2:$E$1001,"&lt;="&amp;E146))</f>
        <v/>
      </c>
      <c r="T146" s="5">
        <f>IF(A146="","",IF(R146="","initial",IF(ABS(R146)&lt;=ShiftThresholdDays,"unchanged",IF(R146&gt;0,"delayed","accelerated"))))</f>
        <v/>
      </c>
    </row>
    <row r="147">
      <c r="A147" s="2" t="n"/>
      <c r="B147" s="2" t="n"/>
      <c r="C147" s="2" t="n"/>
      <c r="D147" s="2" t="n"/>
      <c r="E147" s="2" t="n"/>
      <c r="F147" s="2" t="n"/>
      <c r="G147" s="3" t="n"/>
      <c r="H147" s="2" t="n"/>
      <c r="I147" s="3" t="n"/>
      <c r="J147" s="2" t="n"/>
      <c r="K147" s="2" t="n"/>
      <c r="L147" s="2" t="n"/>
      <c r="M147" s="2" t="n"/>
      <c r="N147" s="2" t="n"/>
      <c r="O147" s="2" t="n"/>
      <c r="P147" s="2" t="n"/>
      <c r="Q147" s="4">
        <f>IF(OR(A147="",E147=""),"",IF(MAXIFS($E$2:$E$1001,$A$2:$A$1001,A147,$E$2:$E$1001,"&lt;"&amp;E147)=0,"",SUMIFS($G$2:$G$1001,$A$2:$A$1001,A147,$E$2:$E$1001,MAXIFS($E$2:$E$1001,$A$2:$A$1001,A147,$E$2:$E$1001,"&lt;"&amp;E147))))</f>
        <v/>
      </c>
      <c r="R147" s="9">
        <f>IF(OR(Q147="",G147=""),"",G147-Q147)</f>
        <v/>
      </c>
      <c r="S147" s="9">
        <f>IF(R147="","",SUMIFS($R$2:$R$1001,$A$2:$A$1001,A147,$E$2:$E$1001,"&lt;="&amp;E147))</f>
        <v/>
      </c>
      <c r="T147" s="5">
        <f>IF(A147="","",IF(R147="","initial",IF(ABS(R147)&lt;=ShiftThresholdDays,"unchanged",IF(R147&gt;0,"delayed","accelerated"))))</f>
        <v/>
      </c>
    </row>
    <row r="148">
      <c r="A148" s="2" t="n"/>
      <c r="B148" s="2" t="n"/>
      <c r="C148" s="2" t="n"/>
      <c r="D148" s="2" t="n"/>
      <c r="E148" s="2" t="n"/>
      <c r="F148" s="2" t="n"/>
      <c r="G148" s="3" t="n"/>
      <c r="H148" s="2" t="n"/>
      <c r="I148" s="3" t="n"/>
      <c r="J148" s="2" t="n"/>
      <c r="K148" s="2" t="n"/>
      <c r="L148" s="2" t="n"/>
      <c r="M148" s="2" t="n"/>
      <c r="N148" s="2" t="n"/>
      <c r="O148" s="2" t="n"/>
      <c r="P148" s="2" t="n"/>
      <c r="Q148" s="4">
        <f>IF(OR(A148="",E148=""),"",IF(MAXIFS($E$2:$E$1001,$A$2:$A$1001,A148,$E$2:$E$1001,"&lt;"&amp;E148)=0,"",SUMIFS($G$2:$G$1001,$A$2:$A$1001,A148,$E$2:$E$1001,MAXIFS($E$2:$E$1001,$A$2:$A$1001,A148,$E$2:$E$1001,"&lt;"&amp;E148))))</f>
        <v/>
      </c>
      <c r="R148" s="9">
        <f>IF(OR(Q148="",G148=""),"",G148-Q148)</f>
        <v/>
      </c>
      <c r="S148" s="9">
        <f>IF(R148="","",SUMIFS($R$2:$R$1001,$A$2:$A$1001,A148,$E$2:$E$1001,"&lt;="&amp;E148))</f>
        <v/>
      </c>
      <c r="T148" s="5">
        <f>IF(A148="","",IF(R148="","initial",IF(ABS(R148)&lt;=ShiftThresholdDays,"unchanged",IF(R148&gt;0,"delayed","accelerated"))))</f>
        <v/>
      </c>
    </row>
    <row r="149">
      <c r="A149" s="2" t="n"/>
      <c r="B149" s="2" t="n"/>
      <c r="C149" s="2" t="n"/>
      <c r="D149" s="2" t="n"/>
      <c r="E149" s="2" t="n"/>
      <c r="F149" s="2" t="n"/>
      <c r="G149" s="3" t="n"/>
      <c r="H149" s="2" t="n"/>
      <c r="I149" s="3" t="n"/>
      <c r="J149" s="2" t="n"/>
      <c r="K149" s="2" t="n"/>
      <c r="L149" s="2" t="n"/>
      <c r="M149" s="2" t="n"/>
      <c r="N149" s="2" t="n"/>
      <c r="O149" s="2" t="n"/>
      <c r="P149" s="2" t="n"/>
      <c r="Q149" s="4">
        <f>IF(OR(A149="",E149=""),"",IF(MAXIFS($E$2:$E$1001,$A$2:$A$1001,A149,$E$2:$E$1001,"&lt;"&amp;E149)=0,"",SUMIFS($G$2:$G$1001,$A$2:$A$1001,A149,$E$2:$E$1001,MAXIFS($E$2:$E$1001,$A$2:$A$1001,A149,$E$2:$E$1001,"&lt;"&amp;E149))))</f>
        <v/>
      </c>
      <c r="R149" s="9">
        <f>IF(OR(Q149="",G149=""),"",G149-Q149)</f>
        <v/>
      </c>
      <c r="S149" s="9">
        <f>IF(R149="","",SUMIFS($R$2:$R$1001,$A$2:$A$1001,A149,$E$2:$E$1001,"&lt;="&amp;E149))</f>
        <v/>
      </c>
      <c r="T149" s="5">
        <f>IF(A149="","",IF(R149="","initial",IF(ABS(R149)&lt;=ShiftThresholdDays,"unchanged",IF(R149&gt;0,"delayed","accelerated"))))</f>
        <v/>
      </c>
    </row>
    <row r="150">
      <c r="A150" s="2" t="n"/>
      <c r="B150" s="2" t="n"/>
      <c r="C150" s="2" t="n"/>
      <c r="D150" s="2" t="n"/>
      <c r="E150" s="2" t="n"/>
      <c r="F150" s="2" t="n"/>
      <c r="G150" s="3" t="n"/>
      <c r="H150" s="2" t="n"/>
      <c r="I150" s="3" t="n"/>
      <c r="J150" s="2" t="n"/>
      <c r="K150" s="2" t="n"/>
      <c r="L150" s="2" t="n"/>
      <c r="M150" s="2" t="n"/>
      <c r="N150" s="2" t="n"/>
      <c r="O150" s="2" t="n"/>
      <c r="P150" s="2" t="n"/>
      <c r="Q150" s="4">
        <f>IF(OR(A150="",E150=""),"",IF(MAXIFS($E$2:$E$1001,$A$2:$A$1001,A150,$E$2:$E$1001,"&lt;"&amp;E150)=0,"",SUMIFS($G$2:$G$1001,$A$2:$A$1001,A150,$E$2:$E$1001,MAXIFS($E$2:$E$1001,$A$2:$A$1001,A150,$E$2:$E$1001,"&lt;"&amp;E150))))</f>
        <v/>
      </c>
      <c r="R150" s="9">
        <f>IF(OR(Q150="",G150=""),"",G150-Q150)</f>
        <v/>
      </c>
      <c r="S150" s="9">
        <f>IF(R150="","",SUMIFS($R$2:$R$1001,$A$2:$A$1001,A150,$E$2:$E$1001,"&lt;="&amp;E150))</f>
        <v/>
      </c>
      <c r="T150" s="5">
        <f>IF(A150="","",IF(R150="","initial",IF(ABS(R150)&lt;=ShiftThresholdDays,"unchanged",IF(R150&gt;0,"delayed","accelerated"))))</f>
        <v/>
      </c>
    </row>
    <row r="151">
      <c r="A151" s="2" t="n"/>
      <c r="B151" s="2" t="n"/>
      <c r="C151" s="2" t="n"/>
      <c r="D151" s="2" t="n"/>
      <c r="E151" s="2" t="n"/>
      <c r="F151" s="2" t="n"/>
      <c r="G151" s="3" t="n"/>
      <c r="H151" s="2" t="n"/>
      <c r="I151" s="3" t="n"/>
      <c r="J151" s="2" t="n"/>
      <c r="K151" s="2" t="n"/>
      <c r="L151" s="2" t="n"/>
      <c r="M151" s="2" t="n"/>
      <c r="N151" s="2" t="n"/>
      <c r="O151" s="2" t="n"/>
      <c r="P151" s="2" t="n"/>
      <c r="Q151" s="4">
        <f>IF(OR(A151="",E151=""),"",IF(MAXIFS($E$2:$E$1001,$A$2:$A$1001,A151,$E$2:$E$1001,"&lt;"&amp;E151)=0,"",SUMIFS($G$2:$G$1001,$A$2:$A$1001,A151,$E$2:$E$1001,MAXIFS($E$2:$E$1001,$A$2:$A$1001,A151,$E$2:$E$1001,"&lt;"&amp;E151))))</f>
        <v/>
      </c>
      <c r="R151" s="9">
        <f>IF(OR(Q151="",G151=""),"",G151-Q151)</f>
        <v/>
      </c>
      <c r="S151" s="9">
        <f>IF(R151="","",SUMIFS($R$2:$R$1001,$A$2:$A$1001,A151,$E$2:$E$1001,"&lt;="&amp;E151))</f>
        <v/>
      </c>
      <c r="T151" s="5">
        <f>IF(A151="","",IF(R151="","initial",IF(ABS(R151)&lt;=ShiftThresholdDays,"unchanged",IF(R151&gt;0,"delayed","accelerated"))))</f>
        <v/>
      </c>
    </row>
    <row r="152">
      <c r="A152" s="2" t="n"/>
      <c r="B152" s="2" t="n"/>
      <c r="C152" s="2" t="n"/>
      <c r="D152" s="2" t="n"/>
      <c r="E152" s="2" t="n"/>
      <c r="F152" s="2" t="n"/>
      <c r="G152" s="3" t="n"/>
      <c r="H152" s="2" t="n"/>
      <c r="I152" s="3" t="n"/>
      <c r="J152" s="2" t="n"/>
      <c r="K152" s="2" t="n"/>
      <c r="L152" s="2" t="n"/>
      <c r="M152" s="2" t="n"/>
      <c r="N152" s="2" t="n"/>
      <c r="O152" s="2" t="n"/>
      <c r="P152" s="2" t="n"/>
      <c r="Q152" s="4">
        <f>IF(OR(A152="",E152=""),"",IF(MAXIFS($E$2:$E$1001,$A$2:$A$1001,A152,$E$2:$E$1001,"&lt;"&amp;E152)=0,"",SUMIFS($G$2:$G$1001,$A$2:$A$1001,A152,$E$2:$E$1001,MAXIFS($E$2:$E$1001,$A$2:$A$1001,A152,$E$2:$E$1001,"&lt;"&amp;E152))))</f>
        <v/>
      </c>
      <c r="R152" s="9">
        <f>IF(OR(Q152="",G152=""),"",G152-Q152)</f>
        <v/>
      </c>
      <c r="S152" s="9">
        <f>IF(R152="","",SUMIFS($R$2:$R$1001,$A$2:$A$1001,A152,$E$2:$E$1001,"&lt;="&amp;E152))</f>
        <v/>
      </c>
      <c r="T152" s="5">
        <f>IF(A152="","",IF(R152="","initial",IF(ABS(R152)&lt;=ShiftThresholdDays,"unchanged",IF(R152&gt;0,"delayed","accelerated"))))</f>
        <v/>
      </c>
    </row>
    <row r="153">
      <c r="A153" s="2" t="n"/>
      <c r="B153" s="2" t="n"/>
      <c r="C153" s="2" t="n"/>
      <c r="D153" s="2" t="n"/>
      <c r="E153" s="2" t="n"/>
      <c r="F153" s="2" t="n"/>
      <c r="G153" s="3" t="n"/>
      <c r="H153" s="2" t="n"/>
      <c r="I153" s="3" t="n"/>
      <c r="J153" s="2" t="n"/>
      <c r="K153" s="2" t="n"/>
      <c r="L153" s="2" t="n"/>
      <c r="M153" s="2" t="n"/>
      <c r="N153" s="2" t="n"/>
      <c r="O153" s="2" t="n"/>
      <c r="P153" s="2" t="n"/>
      <c r="Q153" s="4">
        <f>IF(OR(A153="",E153=""),"",IF(MAXIFS($E$2:$E$1001,$A$2:$A$1001,A153,$E$2:$E$1001,"&lt;"&amp;E153)=0,"",SUMIFS($G$2:$G$1001,$A$2:$A$1001,A153,$E$2:$E$1001,MAXIFS($E$2:$E$1001,$A$2:$A$1001,A153,$E$2:$E$1001,"&lt;"&amp;E153))))</f>
        <v/>
      </c>
      <c r="R153" s="9">
        <f>IF(OR(Q153="",G153=""),"",G153-Q153)</f>
        <v/>
      </c>
      <c r="S153" s="9">
        <f>IF(R153="","",SUMIFS($R$2:$R$1001,$A$2:$A$1001,A153,$E$2:$E$1001,"&lt;="&amp;E153))</f>
        <v/>
      </c>
      <c r="T153" s="5">
        <f>IF(A153="","",IF(R153="","initial",IF(ABS(R153)&lt;=ShiftThresholdDays,"unchanged",IF(R153&gt;0,"delayed","accelerated"))))</f>
        <v/>
      </c>
    </row>
    <row r="154">
      <c r="A154" s="2" t="n"/>
      <c r="B154" s="2" t="n"/>
      <c r="C154" s="2" t="n"/>
      <c r="D154" s="2" t="n"/>
      <c r="E154" s="2" t="n"/>
      <c r="F154" s="2" t="n"/>
      <c r="G154" s="3" t="n"/>
      <c r="H154" s="2" t="n"/>
      <c r="I154" s="3" t="n"/>
      <c r="J154" s="2" t="n"/>
      <c r="K154" s="2" t="n"/>
      <c r="L154" s="2" t="n"/>
      <c r="M154" s="2" t="n"/>
      <c r="N154" s="2" t="n"/>
      <c r="O154" s="2" t="n"/>
      <c r="P154" s="2" t="n"/>
      <c r="Q154" s="4">
        <f>IF(OR(A154="",E154=""),"",IF(MAXIFS($E$2:$E$1001,$A$2:$A$1001,A154,$E$2:$E$1001,"&lt;"&amp;E154)=0,"",SUMIFS($G$2:$G$1001,$A$2:$A$1001,A154,$E$2:$E$1001,MAXIFS($E$2:$E$1001,$A$2:$A$1001,A154,$E$2:$E$1001,"&lt;"&amp;E154))))</f>
        <v/>
      </c>
      <c r="R154" s="9">
        <f>IF(OR(Q154="",G154=""),"",G154-Q154)</f>
        <v/>
      </c>
      <c r="S154" s="9">
        <f>IF(R154="","",SUMIFS($R$2:$R$1001,$A$2:$A$1001,A154,$E$2:$E$1001,"&lt;="&amp;E154))</f>
        <v/>
      </c>
      <c r="T154" s="5">
        <f>IF(A154="","",IF(R154="","initial",IF(ABS(R154)&lt;=ShiftThresholdDays,"unchanged",IF(R154&gt;0,"delayed","accelerated"))))</f>
        <v/>
      </c>
    </row>
    <row r="155">
      <c r="A155" s="2" t="n"/>
      <c r="B155" s="2" t="n"/>
      <c r="C155" s="2" t="n"/>
      <c r="D155" s="2" t="n"/>
      <c r="E155" s="2" t="n"/>
      <c r="F155" s="2" t="n"/>
      <c r="G155" s="3" t="n"/>
      <c r="H155" s="2" t="n"/>
      <c r="I155" s="3" t="n"/>
      <c r="J155" s="2" t="n"/>
      <c r="K155" s="2" t="n"/>
      <c r="L155" s="2" t="n"/>
      <c r="M155" s="2" t="n"/>
      <c r="N155" s="2" t="n"/>
      <c r="O155" s="2" t="n"/>
      <c r="P155" s="2" t="n"/>
      <c r="Q155" s="4">
        <f>IF(OR(A155="",E155=""),"",IF(MAXIFS($E$2:$E$1001,$A$2:$A$1001,A155,$E$2:$E$1001,"&lt;"&amp;E155)=0,"",SUMIFS($G$2:$G$1001,$A$2:$A$1001,A155,$E$2:$E$1001,MAXIFS($E$2:$E$1001,$A$2:$A$1001,A155,$E$2:$E$1001,"&lt;"&amp;E155))))</f>
        <v/>
      </c>
      <c r="R155" s="9">
        <f>IF(OR(Q155="",G155=""),"",G155-Q155)</f>
        <v/>
      </c>
      <c r="S155" s="9">
        <f>IF(R155="","",SUMIFS($R$2:$R$1001,$A$2:$A$1001,A155,$E$2:$E$1001,"&lt;="&amp;E155))</f>
        <v/>
      </c>
      <c r="T155" s="5">
        <f>IF(A155="","",IF(R155="","initial",IF(ABS(R155)&lt;=ShiftThresholdDays,"unchanged",IF(R155&gt;0,"delayed","accelerated"))))</f>
        <v/>
      </c>
    </row>
    <row r="156">
      <c r="A156" s="2" t="n"/>
      <c r="B156" s="2" t="n"/>
      <c r="C156" s="2" t="n"/>
      <c r="D156" s="2" t="n"/>
      <c r="E156" s="2" t="n"/>
      <c r="F156" s="2" t="n"/>
      <c r="G156" s="3" t="n"/>
      <c r="H156" s="2" t="n"/>
      <c r="I156" s="3" t="n"/>
      <c r="J156" s="2" t="n"/>
      <c r="K156" s="2" t="n"/>
      <c r="L156" s="2" t="n"/>
      <c r="M156" s="2" t="n"/>
      <c r="N156" s="2" t="n"/>
      <c r="O156" s="2" t="n"/>
      <c r="P156" s="2" t="n"/>
      <c r="Q156" s="4">
        <f>IF(OR(A156="",E156=""),"",IF(MAXIFS($E$2:$E$1001,$A$2:$A$1001,A156,$E$2:$E$1001,"&lt;"&amp;E156)=0,"",SUMIFS($G$2:$G$1001,$A$2:$A$1001,A156,$E$2:$E$1001,MAXIFS($E$2:$E$1001,$A$2:$A$1001,A156,$E$2:$E$1001,"&lt;"&amp;E156))))</f>
        <v/>
      </c>
      <c r="R156" s="9">
        <f>IF(OR(Q156="",G156=""),"",G156-Q156)</f>
        <v/>
      </c>
      <c r="S156" s="9">
        <f>IF(R156="","",SUMIFS($R$2:$R$1001,$A$2:$A$1001,A156,$E$2:$E$1001,"&lt;="&amp;E156))</f>
        <v/>
      </c>
      <c r="T156" s="5">
        <f>IF(A156="","",IF(R156="","initial",IF(ABS(R156)&lt;=ShiftThresholdDays,"unchanged",IF(R156&gt;0,"delayed","accelerated"))))</f>
        <v/>
      </c>
    </row>
    <row r="157">
      <c r="A157" s="2" t="n"/>
      <c r="B157" s="2" t="n"/>
      <c r="C157" s="2" t="n"/>
      <c r="D157" s="2" t="n"/>
      <c r="E157" s="2" t="n"/>
      <c r="F157" s="2" t="n"/>
      <c r="G157" s="3" t="n"/>
      <c r="H157" s="2" t="n"/>
      <c r="I157" s="3" t="n"/>
      <c r="J157" s="2" t="n"/>
      <c r="K157" s="2" t="n"/>
      <c r="L157" s="2" t="n"/>
      <c r="M157" s="2" t="n"/>
      <c r="N157" s="2" t="n"/>
      <c r="O157" s="2" t="n"/>
      <c r="P157" s="2" t="n"/>
      <c r="Q157" s="4">
        <f>IF(OR(A157="",E157=""),"",IF(MAXIFS($E$2:$E$1001,$A$2:$A$1001,A157,$E$2:$E$1001,"&lt;"&amp;E157)=0,"",SUMIFS($G$2:$G$1001,$A$2:$A$1001,A157,$E$2:$E$1001,MAXIFS($E$2:$E$1001,$A$2:$A$1001,A157,$E$2:$E$1001,"&lt;"&amp;E157))))</f>
        <v/>
      </c>
      <c r="R157" s="9">
        <f>IF(OR(Q157="",G157=""),"",G157-Q157)</f>
        <v/>
      </c>
      <c r="S157" s="9">
        <f>IF(R157="","",SUMIFS($R$2:$R$1001,$A$2:$A$1001,A157,$E$2:$E$1001,"&lt;="&amp;E157))</f>
        <v/>
      </c>
      <c r="T157" s="5">
        <f>IF(A157="","",IF(R157="","initial",IF(ABS(R157)&lt;=ShiftThresholdDays,"unchanged",IF(R157&gt;0,"delayed","accelerated"))))</f>
        <v/>
      </c>
    </row>
    <row r="158">
      <c r="A158" s="2" t="n"/>
      <c r="B158" s="2" t="n"/>
      <c r="C158" s="2" t="n"/>
      <c r="D158" s="2" t="n"/>
      <c r="E158" s="2" t="n"/>
      <c r="F158" s="2" t="n"/>
      <c r="G158" s="3" t="n"/>
      <c r="H158" s="2" t="n"/>
      <c r="I158" s="3" t="n"/>
      <c r="J158" s="2" t="n"/>
      <c r="K158" s="2" t="n"/>
      <c r="L158" s="2" t="n"/>
      <c r="M158" s="2" t="n"/>
      <c r="N158" s="2" t="n"/>
      <c r="O158" s="2" t="n"/>
      <c r="P158" s="2" t="n"/>
      <c r="Q158" s="4">
        <f>IF(OR(A158="",E158=""),"",IF(MAXIFS($E$2:$E$1001,$A$2:$A$1001,A158,$E$2:$E$1001,"&lt;"&amp;E158)=0,"",SUMIFS($G$2:$G$1001,$A$2:$A$1001,A158,$E$2:$E$1001,MAXIFS($E$2:$E$1001,$A$2:$A$1001,A158,$E$2:$E$1001,"&lt;"&amp;E158))))</f>
        <v/>
      </c>
      <c r="R158" s="9">
        <f>IF(OR(Q158="",G158=""),"",G158-Q158)</f>
        <v/>
      </c>
      <c r="S158" s="9">
        <f>IF(R158="","",SUMIFS($R$2:$R$1001,$A$2:$A$1001,A158,$E$2:$E$1001,"&lt;="&amp;E158))</f>
        <v/>
      </c>
      <c r="T158" s="5">
        <f>IF(A158="","",IF(R158="","initial",IF(ABS(R158)&lt;=ShiftThresholdDays,"unchanged",IF(R158&gt;0,"delayed","accelerated"))))</f>
        <v/>
      </c>
    </row>
    <row r="159">
      <c r="A159" s="2" t="n"/>
      <c r="B159" s="2" t="n"/>
      <c r="C159" s="2" t="n"/>
      <c r="D159" s="2" t="n"/>
      <c r="E159" s="2" t="n"/>
      <c r="F159" s="2" t="n"/>
      <c r="G159" s="3" t="n"/>
      <c r="H159" s="2" t="n"/>
      <c r="I159" s="3" t="n"/>
      <c r="J159" s="2" t="n"/>
      <c r="K159" s="2" t="n"/>
      <c r="L159" s="2" t="n"/>
      <c r="M159" s="2" t="n"/>
      <c r="N159" s="2" t="n"/>
      <c r="O159" s="2" t="n"/>
      <c r="P159" s="2" t="n"/>
      <c r="Q159" s="4">
        <f>IF(OR(A159="",E159=""),"",IF(MAXIFS($E$2:$E$1001,$A$2:$A$1001,A159,$E$2:$E$1001,"&lt;"&amp;E159)=0,"",SUMIFS($G$2:$G$1001,$A$2:$A$1001,A159,$E$2:$E$1001,MAXIFS($E$2:$E$1001,$A$2:$A$1001,A159,$E$2:$E$1001,"&lt;"&amp;E159))))</f>
        <v/>
      </c>
      <c r="R159" s="9">
        <f>IF(OR(Q159="",G159=""),"",G159-Q159)</f>
        <v/>
      </c>
      <c r="S159" s="9">
        <f>IF(R159="","",SUMIFS($R$2:$R$1001,$A$2:$A$1001,A159,$E$2:$E$1001,"&lt;="&amp;E159))</f>
        <v/>
      </c>
      <c r="T159" s="5">
        <f>IF(A159="","",IF(R159="","initial",IF(ABS(R159)&lt;=ShiftThresholdDays,"unchanged",IF(R159&gt;0,"delayed","accelerated"))))</f>
        <v/>
      </c>
    </row>
    <row r="160">
      <c r="A160" s="2" t="n"/>
      <c r="B160" s="2" t="n"/>
      <c r="C160" s="2" t="n"/>
      <c r="D160" s="2" t="n"/>
      <c r="E160" s="2" t="n"/>
      <c r="F160" s="2" t="n"/>
      <c r="G160" s="3" t="n"/>
      <c r="H160" s="2" t="n"/>
      <c r="I160" s="3" t="n"/>
      <c r="J160" s="2" t="n"/>
      <c r="K160" s="2" t="n"/>
      <c r="L160" s="2" t="n"/>
      <c r="M160" s="2" t="n"/>
      <c r="N160" s="2" t="n"/>
      <c r="O160" s="2" t="n"/>
      <c r="P160" s="2" t="n"/>
      <c r="Q160" s="4">
        <f>IF(OR(A160="",E160=""),"",IF(MAXIFS($E$2:$E$1001,$A$2:$A$1001,A160,$E$2:$E$1001,"&lt;"&amp;E160)=0,"",SUMIFS($G$2:$G$1001,$A$2:$A$1001,A160,$E$2:$E$1001,MAXIFS($E$2:$E$1001,$A$2:$A$1001,A160,$E$2:$E$1001,"&lt;"&amp;E160))))</f>
        <v/>
      </c>
      <c r="R160" s="9">
        <f>IF(OR(Q160="",G160=""),"",G160-Q160)</f>
        <v/>
      </c>
      <c r="S160" s="9">
        <f>IF(R160="","",SUMIFS($R$2:$R$1001,$A$2:$A$1001,A160,$E$2:$E$1001,"&lt;="&amp;E160))</f>
        <v/>
      </c>
      <c r="T160" s="5">
        <f>IF(A160="","",IF(R160="","initial",IF(ABS(R160)&lt;=ShiftThresholdDays,"unchanged",IF(R160&gt;0,"delayed","accelerated"))))</f>
        <v/>
      </c>
    </row>
    <row r="161">
      <c r="A161" s="2" t="n"/>
      <c r="B161" s="2" t="n"/>
      <c r="C161" s="2" t="n"/>
      <c r="D161" s="2" t="n"/>
      <c r="E161" s="2" t="n"/>
      <c r="F161" s="2" t="n"/>
      <c r="G161" s="3" t="n"/>
      <c r="H161" s="2" t="n"/>
      <c r="I161" s="3" t="n"/>
      <c r="J161" s="2" t="n"/>
      <c r="K161" s="2" t="n"/>
      <c r="L161" s="2" t="n"/>
      <c r="M161" s="2" t="n"/>
      <c r="N161" s="2" t="n"/>
      <c r="O161" s="2" t="n"/>
      <c r="P161" s="2" t="n"/>
      <c r="Q161" s="4">
        <f>IF(OR(A161="",E161=""),"",IF(MAXIFS($E$2:$E$1001,$A$2:$A$1001,A161,$E$2:$E$1001,"&lt;"&amp;E161)=0,"",SUMIFS($G$2:$G$1001,$A$2:$A$1001,A161,$E$2:$E$1001,MAXIFS($E$2:$E$1001,$A$2:$A$1001,A161,$E$2:$E$1001,"&lt;"&amp;E161))))</f>
        <v/>
      </c>
      <c r="R161" s="9">
        <f>IF(OR(Q161="",G161=""),"",G161-Q161)</f>
        <v/>
      </c>
      <c r="S161" s="9">
        <f>IF(R161="","",SUMIFS($R$2:$R$1001,$A$2:$A$1001,A161,$E$2:$E$1001,"&lt;="&amp;E161))</f>
        <v/>
      </c>
      <c r="T161" s="5">
        <f>IF(A161="","",IF(R161="","initial",IF(ABS(R161)&lt;=ShiftThresholdDays,"unchanged",IF(R161&gt;0,"delayed","accelerated"))))</f>
        <v/>
      </c>
    </row>
    <row r="162">
      <c r="A162" s="2" t="n"/>
      <c r="B162" s="2" t="n"/>
      <c r="C162" s="2" t="n"/>
      <c r="D162" s="2" t="n"/>
      <c r="E162" s="2" t="n"/>
      <c r="F162" s="2" t="n"/>
      <c r="G162" s="3" t="n"/>
      <c r="H162" s="2" t="n"/>
      <c r="I162" s="3" t="n"/>
      <c r="J162" s="2" t="n"/>
      <c r="K162" s="2" t="n"/>
      <c r="L162" s="2" t="n"/>
      <c r="M162" s="2" t="n"/>
      <c r="N162" s="2" t="n"/>
      <c r="O162" s="2" t="n"/>
      <c r="P162" s="2" t="n"/>
      <c r="Q162" s="4">
        <f>IF(OR(A162="",E162=""),"",IF(MAXIFS($E$2:$E$1001,$A$2:$A$1001,A162,$E$2:$E$1001,"&lt;"&amp;E162)=0,"",SUMIFS($G$2:$G$1001,$A$2:$A$1001,A162,$E$2:$E$1001,MAXIFS($E$2:$E$1001,$A$2:$A$1001,A162,$E$2:$E$1001,"&lt;"&amp;E162))))</f>
        <v/>
      </c>
      <c r="R162" s="9">
        <f>IF(OR(Q162="",G162=""),"",G162-Q162)</f>
        <v/>
      </c>
      <c r="S162" s="9">
        <f>IF(R162="","",SUMIFS($R$2:$R$1001,$A$2:$A$1001,A162,$E$2:$E$1001,"&lt;="&amp;E162))</f>
        <v/>
      </c>
      <c r="T162" s="5">
        <f>IF(A162="","",IF(R162="","initial",IF(ABS(R162)&lt;=ShiftThresholdDays,"unchanged",IF(R162&gt;0,"delayed","accelerated"))))</f>
        <v/>
      </c>
    </row>
    <row r="163">
      <c r="A163" s="2" t="n"/>
      <c r="B163" s="2" t="n"/>
      <c r="C163" s="2" t="n"/>
      <c r="D163" s="2" t="n"/>
      <c r="E163" s="2" t="n"/>
      <c r="F163" s="2" t="n"/>
      <c r="G163" s="3" t="n"/>
      <c r="H163" s="2" t="n"/>
      <c r="I163" s="3" t="n"/>
      <c r="J163" s="2" t="n"/>
      <c r="K163" s="2" t="n"/>
      <c r="L163" s="2" t="n"/>
      <c r="M163" s="2" t="n"/>
      <c r="N163" s="2" t="n"/>
      <c r="O163" s="2" t="n"/>
      <c r="P163" s="2" t="n"/>
      <c r="Q163" s="4">
        <f>IF(OR(A163="",E163=""),"",IF(MAXIFS($E$2:$E$1001,$A$2:$A$1001,A163,$E$2:$E$1001,"&lt;"&amp;E163)=0,"",SUMIFS($G$2:$G$1001,$A$2:$A$1001,A163,$E$2:$E$1001,MAXIFS($E$2:$E$1001,$A$2:$A$1001,A163,$E$2:$E$1001,"&lt;"&amp;E163))))</f>
        <v/>
      </c>
      <c r="R163" s="9">
        <f>IF(OR(Q163="",G163=""),"",G163-Q163)</f>
        <v/>
      </c>
      <c r="S163" s="9">
        <f>IF(R163="","",SUMIFS($R$2:$R$1001,$A$2:$A$1001,A163,$E$2:$E$1001,"&lt;="&amp;E163))</f>
        <v/>
      </c>
      <c r="T163" s="5">
        <f>IF(A163="","",IF(R163="","initial",IF(ABS(R163)&lt;=ShiftThresholdDays,"unchanged",IF(R163&gt;0,"delayed","accelerated"))))</f>
        <v/>
      </c>
    </row>
    <row r="164">
      <c r="A164" s="2" t="n"/>
      <c r="B164" s="2" t="n"/>
      <c r="C164" s="2" t="n"/>
      <c r="D164" s="2" t="n"/>
      <c r="E164" s="2" t="n"/>
      <c r="F164" s="2" t="n"/>
      <c r="G164" s="3" t="n"/>
      <c r="H164" s="2" t="n"/>
      <c r="I164" s="3" t="n"/>
      <c r="J164" s="2" t="n"/>
      <c r="K164" s="2" t="n"/>
      <c r="L164" s="2" t="n"/>
      <c r="M164" s="2" t="n"/>
      <c r="N164" s="2" t="n"/>
      <c r="O164" s="2" t="n"/>
      <c r="P164" s="2" t="n"/>
      <c r="Q164" s="4">
        <f>IF(OR(A164="",E164=""),"",IF(MAXIFS($E$2:$E$1001,$A$2:$A$1001,A164,$E$2:$E$1001,"&lt;"&amp;E164)=0,"",SUMIFS($G$2:$G$1001,$A$2:$A$1001,A164,$E$2:$E$1001,MAXIFS($E$2:$E$1001,$A$2:$A$1001,A164,$E$2:$E$1001,"&lt;"&amp;E164))))</f>
        <v/>
      </c>
      <c r="R164" s="9">
        <f>IF(OR(Q164="",G164=""),"",G164-Q164)</f>
        <v/>
      </c>
      <c r="S164" s="9">
        <f>IF(R164="","",SUMIFS($R$2:$R$1001,$A$2:$A$1001,A164,$E$2:$E$1001,"&lt;="&amp;E164))</f>
        <v/>
      </c>
      <c r="T164" s="5">
        <f>IF(A164="","",IF(R164="","initial",IF(ABS(R164)&lt;=ShiftThresholdDays,"unchanged",IF(R164&gt;0,"delayed","accelerated"))))</f>
        <v/>
      </c>
    </row>
    <row r="165">
      <c r="A165" s="2" t="n"/>
      <c r="B165" s="2" t="n"/>
      <c r="C165" s="2" t="n"/>
      <c r="D165" s="2" t="n"/>
      <c r="E165" s="2" t="n"/>
      <c r="F165" s="2" t="n"/>
      <c r="G165" s="3" t="n"/>
      <c r="H165" s="2" t="n"/>
      <c r="I165" s="3" t="n"/>
      <c r="J165" s="2" t="n"/>
      <c r="K165" s="2" t="n"/>
      <c r="L165" s="2" t="n"/>
      <c r="M165" s="2" t="n"/>
      <c r="N165" s="2" t="n"/>
      <c r="O165" s="2" t="n"/>
      <c r="P165" s="2" t="n"/>
      <c r="Q165" s="4">
        <f>IF(OR(A165="",E165=""),"",IF(MAXIFS($E$2:$E$1001,$A$2:$A$1001,A165,$E$2:$E$1001,"&lt;"&amp;E165)=0,"",SUMIFS($G$2:$G$1001,$A$2:$A$1001,A165,$E$2:$E$1001,MAXIFS($E$2:$E$1001,$A$2:$A$1001,A165,$E$2:$E$1001,"&lt;"&amp;E165))))</f>
        <v/>
      </c>
      <c r="R165" s="9">
        <f>IF(OR(Q165="",G165=""),"",G165-Q165)</f>
        <v/>
      </c>
      <c r="S165" s="9">
        <f>IF(R165="","",SUMIFS($R$2:$R$1001,$A$2:$A$1001,A165,$E$2:$E$1001,"&lt;="&amp;E165))</f>
        <v/>
      </c>
      <c r="T165" s="5">
        <f>IF(A165="","",IF(R165="","initial",IF(ABS(R165)&lt;=ShiftThresholdDays,"unchanged",IF(R165&gt;0,"delayed","accelerated"))))</f>
        <v/>
      </c>
    </row>
    <row r="166">
      <c r="A166" s="2" t="n"/>
      <c r="B166" s="2" t="n"/>
      <c r="C166" s="2" t="n"/>
      <c r="D166" s="2" t="n"/>
      <c r="E166" s="2" t="n"/>
      <c r="F166" s="2" t="n"/>
      <c r="G166" s="3" t="n"/>
      <c r="H166" s="2" t="n"/>
      <c r="I166" s="3" t="n"/>
      <c r="J166" s="2" t="n"/>
      <c r="K166" s="2" t="n"/>
      <c r="L166" s="2" t="n"/>
      <c r="M166" s="2" t="n"/>
      <c r="N166" s="2" t="n"/>
      <c r="O166" s="2" t="n"/>
      <c r="P166" s="2" t="n"/>
      <c r="Q166" s="4">
        <f>IF(OR(A166="",E166=""),"",IF(MAXIFS($E$2:$E$1001,$A$2:$A$1001,A166,$E$2:$E$1001,"&lt;"&amp;E166)=0,"",SUMIFS($G$2:$G$1001,$A$2:$A$1001,A166,$E$2:$E$1001,MAXIFS($E$2:$E$1001,$A$2:$A$1001,A166,$E$2:$E$1001,"&lt;"&amp;E166))))</f>
        <v/>
      </c>
      <c r="R166" s="9">
        <f>IF(OR(Q166="",G166=""),"",G166-Q166)</f>
        <v/>
      </c>
      <c r="S166" s="9">
        <f>IF(R166="","",SUMIFS($R$2:$R$1001,$A$2:$A$1001,A166,$E$2:$E$1001,"&lt;="&amp;E166))</f>
        <v/>
      </c>
      <c r="T166" s="5">
        <f>IF(A166="","",IF(R166="","initial",IF(ABS(R166)&lt;=ShiftThresholdDays,"unchanged",IF(R166&gt;0,"delayed","accelerated"))))</f>
        <v/>
      </c>
    </row>
    <row r="167">
      <c r="A167" s="2" t="n"/>
      <c r="B167" s="2" t="n"/>
      <c r="C167" s="2" t="n"/>
      <c r="D167" s="2" t="n"/>
      <c r="E167" s="2" t="n"/>
      <c r="F167" s="2" t="n"/>
      <c r="G167" s="3" t="n"/>
      <c r="H167" s="2" t="n"/>
      <c r="I167" s="3" t="n"/>
      <c r="J167" s="2" t="n"/>
      <c r="K167" s="2" t="n"/>
      <c r="L167" s="2" t="n"/>
      <c r="M167" s="2" t="n"/>
      <c r="N167" s="2" t="n"/>
      <c r="O167" s="2" t="n"/>
      <c r="P167" s="2" t="n"/>
      <c r="Q167" s="4">
        <f>IF(OR(A167="",E167=""),"",IF(MAXIFS($E$2:$E$1001,$A$2:$A$1001,A167,$E$2:$E$1001,"&lt;"&amp;E167)=0,"",SUMIFS($G$2:$G$1001,$A$2:$A$1001,A167,$E$2:$E$1001,MAXIFS($E$2:$E$1001,$A$2:$A$1001,A167,$E$2:$E$1001,"&lt;"&amp;E167))))</f>
        <v/>
      </c>
      <c r="R167" s="9">
        <f>IF(OR(Q167="",G167=""),"",G167-Q167)</f>
        <v/>
      </c>
      <c r="S167" s="9">
        <f>IF(R167="","",SUMIFS($R$2:$R$1001,$A$2:$A$1001,A167,$E$2:$E$1001,"&lt;="&amp;E167))</f>
        <v/>
      </c>
      <c r="T167" s="5">
        <f>IF(A167="","",IF(R167="","initial",IF(ABS(R167)&lt;=ShiftThresholdDays,"unchanged",IF(R167&gt;0,"delayed","accelerated"))))</f>
        <v/>
      </c>
    </row>
    <row r="168">
      <c r="A168" s="2" t="n"/>
      <c r="B168" s="2" t="n"/>
      <c r="C168" s="2" t="n"/>
      <c r="D168" s="2" t="n"/>
      <c r="E168" s="2" t="n"/>
      <c r="F168" s="2" t="n"/>
      <c r="G168" s="3" t="n"/>
      <c r="H168" s="2" t="n"/>
      <c r="I168" s="3" t="n"/>
      <c r="J168" s="2" t="n"/>
      <c r="K168" s="2" t="n"/>
      <c r="L168" s="2" t="n"/>
      <c r="M168" s="2" t="n"/>
      <c r="N168" s="2" t="n"/>
      <c r="O168" s="2" t="n"/>
      <c r="P168" s="2" t="n"/>
      <c r="Q168" s="4">
        <f>IF(OR(A168="",E168=""),"",IF(MAXIFS($E$2:$E$1001,$A$2:$A$1001,A168,$E$2:$E$1001,"&lt;"&amp;E168)=0,"",SUMIFS($G$2:$G$1001,$A$2:$A$1001,A168,$E$2:$E$1001,MAXIFS($E$2:$E$1001,$A$2:$A$1001,A168,$E$2:$E$1001,"&lt;"&amp;E168))))</f>
        <v/>
      </c>
      <c r="R168" s="9">
        <f>IF(OR(Q168="",G168=""),"",G168-Q168)</f>
        <v/>
      </c>
      <c r="S168" s="9">
        <f>IF(R168="","",SUMIFS($R$2:$R$1001,$A$2:$A$1001,A168,$E$2:$E$1001,"&lt;="&amp;E168))</f>
        <v/>
      </c>
      <c r="T168" s="5">
        <f>IF(A168="","",IF(R168="","initial",IF(ABS(R168)&lt;=ShiftThresholdDays,"unchanged",IF(R168&gt;0,"delayed","accelerated"))))</f>
        <v/>
      </c>
    </row>
    <row r="169">
      <c r="A169" s="2" t="n"/>
      <c r="B169" s="2" t="n"/>
      <c r="C169" s="2" t="n"/>
      <c r="D169" s="2" t="n"/>
      <c r="E169" s="2" t="n"/>
      <c r="F169" s="2" t="n"/>
      <c r="G169" s="3" t="n"/>
      <c r="H169" s="2" t="n"/>
      <c r="I169" s="3" t="n"/>
      <c r="J169" s="2" t="n"/>
      <c r="K169" s="2" t="n"/>
      <c r="L169" s="2" t="n"/>
      <c r="M169" s="2" t="n"/>
      <c r="N169" s="2" t="n"/>
      <c r="O169" s="2" t="n"/>
      <c r="P169" s="2" t="n"/>
      <c r="Q169" s="4">
        <f>IF(OR(A169="",E169=""),"",IF(MAXIFS($E$2:$E$1001,$A$2:$A$1001,A169,$E$2:$E$1001,"&lt;"&amp;E169)=0,"",SUMIFS($G$2:$G$1001,$A$2:$A$1001,A169,$E$2:$E$1001,MAXIFS($E$2:$E$1001,$A$2:$A$1001,A169,$E$2:$E$1001,"&lt;"&amp;E169))))</f>
        <v/>
      </c>
      <c r="R169" s="9">
        <f>IF(OR(Q169="",G169=""),"",G169-Q169)</f>
        <v/>
      </c>
      <c r="S169" s="9">
        <f>IF(R169="","",SUMIFS($R$2:$R$1001,$A$2:$A$1001,A169,$E$2:$E$1001,"&lt;="&amp;E169))</f>
        <v/>
      </c>
      <c r="T169" s="5">
        <f>IF(A169="","",IF(R169="","initial",IF(ABS(R169)&lt;=ShiftThresholdDays,"unchanged",IF(R169&gt;0,"delayed","accelerated"))))</f>
        <v/>
      </c>
    </row>
    <row r="170">
      <c r="A170" s="2" t="n"/>
      <c r="B170" s="2" t="n"/>
      <c r="C170" s="2" t="n"/>
      <c r="D170" s="2" t="n"/>
      <c r="E170" s="2" t="n"/>
      <c r="F170" s="2" t="n"/>
      <c r="G170" s="3" t="n"/>
      <c r="H170" s="2" t="n"/>
      <c r="I170" s="3" t="n"/>
      <c r="J170" s="2" t="n"/>
      <c r="K170" s="2" t="n"/>
      <c r="L170" s="2" t="n"/>
      <c r="M170" s="2" t="n"/>
      <c r="N170" s="2" t="n"/>
      <c r="O170" s="2" t="n"/>
      <c r="P170" s="2" t="n"/>
      <c r="Q170" s="4">
        <f>IF(OR(A170="",E170=""),"",IF(MAXIFS($E$2:$E$1001,$A$2:$A$1001,A170,$E$2:$E$1001,"&lt;"&amp;E170)=0,"",SUMIFS($G$2:$G$1001,$A$2:$A$1001,A170,$E$2:$E$1001,MAXIFS($E$2:$E$1001,$A$2:$A$1001,A170,$E$2:$E$1001,"&lt;"&amp;E170))))</f>
        <v/>
      </c>
      <c r="R170" s="9">
        <f>IF(OR(Q170="",G170=""),"",G170-Q170)</f>
        <v/>
      </c>
      <c r="S170" s="9">
        <f>IF(R170="","",SUMIFS($R$2:$R$1001,$A$2:$A$1001,A170,$E$2:$E$1001,"&lt;="&amp;E170))</f>
        <v/>
      </c>
      <c r="T170" s="5">
        <f>IF(A170="","",IF(R170="","initial",IF(ABS(R170)&lt;=ShiftThresholdDays,"unchanged",IF(R170&gt;0,"delayed","accelerated"))))</f>
        <v/>
      </c>
    </row>
    <row r="171">
      <c r="A171" s="2" t="n"/>
      <c r="B171" s="2" t="n"/>
      <c r="C171" s="2" t="n"/>
      <c r="D171" s="2" t="n"/>
      <c r="E171" s="2" t="n"/>
      <c r="F171" s="2" t="n"/>
      <c r="G171" s="3" t="n"/>
      <c r="H171" s="2" t="n"/>
      <c r="I171" s="3" t="n"/>
      <c r="J171" s="2" t="n"/>
      <c r="K171" s="2" t="n"/>
      <c r="L171" s="2" t="n"/>
      <c r="M171" s="2" t="n"/>
      <c r="N171" s="2" t="n"/>
      <c r="O171" s="2" t="n"/>
      <c r="P171" s="2" t="n"/>
      <c r="Q171" s="4">
        <f>IF(OR(A171="",E171=""),"",IF(MAXIFS($E$2:$E$1001,$A$2:$A$1001,A171,$E$2:$E$1001,"&lt;"&amp;E171)=0,"",SUMIFS($G$2:$G$1001,$A$2:$A$1001,A171,$E$2:$E$1001,MAXIFS($E$2:$E$1001,$A$2:$A$1001,A171,$E$2:$E$1001,"&lt;"&amp;E171))))</f>
        <v/>
      </c>
      <c r="R171" s="9">
        <f>IF(OR(Q171="",G171=""),"",G171-Q171)</f>
        <v/>
      </c>
      <c r="S171" s="9">
        <f>IF(R171="","",SUMIFS($R$2:$R$1001,$A$2:$A$1001,A171,$E$2:$E$1001,"&lt;="&amp;E171))</f>
        <v/>
      </c>
      <c r="T171" s="5">
        <f>IF(A171="","",IF(R171="","initial",IF(ABS(R171)&lt;=ShiftThresholdDays,"unchanged",IF(R171&gt;0,"delayed","accelerated"))))</f>
        <v/>
      </c>
    </row>
    <row r="172">
      <c r="A172" s="2" t="n"/>
      <c r="B172" s="2" t="n"/>
      <c r="C172" s="2" t="n"/>
      <c r="D172" s="2" t="n"/>
      <c r="E172" s="2" t="n"/>
      <c r="F172" s="2" t="n"/>
      <c r="G172" s="3" t="n"/>
      <c r="H172" s="2" t="n"/>
      <c r="I172" s="3" t="n"/>
      <c r="J172" s="2" t="n"/>
      <c r="K172" s="2" t="n"/>
      <c r="L172" s="2" t="n"/>
      <c r="M172" s="2" t="n"/>
      <c r="N172" s="2" t="n"/>
      <c r="O172" s="2" t="n"/>
      <c r="P172" s="2" t="n"/>
      <c r="Q172" s="4">
        <f>IF(OR(A172="",E172=""),"",IF(MAXIFS($E$2:$E$1001,$A$2:$A$1001,A172,$E$2:$E$1001,"&lt;"&amp;E172)=0,"",SUMIFS($G$2:$G$1001,$A$2:$A$1001,A172,$E$2:$E$1001,MAXIFS($E$2:$E$1001,$A$2:$A$1001,A172,$E$2:$E$1001,"&lt;"&amp;E172))))</f>
        <v/>
      </c>
      <c r="R172" s="9">
        <f>IF(OR(Q172="",G172=""),"",G172-Q172)</f>
        <v/>
      </c>
      <c r="S172" s="9">
        <f>IF(R172="","",SUMIFS($R$2:$R$1001,$A$2:$A$1001,A172,$E$2:$E$1001,"&lt;="&amp;E172))</f>
        <v/>
      </c>
      <c r="T172" s="5">
        <f>IF(A172="","",IF(R172="","initial",IF(ABS(R172)&lt;=ShiftThresholdDays,"unchanged",IF(R172&gt;0,"delayed","accelerated"))))</f>
        <v/>
      </c>
    </row>
    <row r="173">
      <c r="A173" s="2" t="n"/>
      <c r="B173" s="2" t="n"/>
      <c r="C173" s="2" t="n"/>
      <c r="D173" s="2" t="n"/>
      <c r="E173" s="2" t="n"/>
      <c r="F173" s="2" t="n"/>
      <c r="G173" s="3" t="n"/>
      <c r="H173" s="2" t="n"/>
      <c r="I173" s="3" t="n"/>
      <c r="J173" s="2" t="n"/>
      <c r="K173" s="2" t="n"/>
      <c r="L173" s="2" t="n"/>
      <c r="M173" s="2" t="n"/>
      <c r="N173" s="2" t="n"/>
      <c r="O173" s="2" t="n"/>
      <c r="P173" s="2" t="n"/>
      <c r="Q173" s="4">
        <f>IF(OR(A173="",E173=""),"",IF(MAXIFS($E$2:$E$1001,$A$2:$A$1001,A173,$E$2:$E$1001,"&lt;"&amp;E173)=0,"",SUMIFS($G$2:$G$1001,$A$2:$A$1001,A173,$E$2:$E$1001,MAXIFS($E$2:$E$1001,$A$2:$A$1001,A173,$E$2:$E$1001,"&lt;"&amp;E173))))</f>
        <v/>
      </c>
      <c r="R173" s="9">
        <f>IF(OR(Q173="",G173=""),"",G173-Q173)</f>
        <v/>
      </c>
      <c r="S173" s="9">
        <f>IF(R173="","",SUMIFS($R$2:$R$1001,$A$2:$A$1001,A173,$E$2:$E$1001,"&lt;="&amp;E173))</f>
        <v/>
      </c>
      <c r="T173" s="5">
        <f>IF(A173="","",IF(R173="","initial",IF(ABS(R173)&lt;=ShiftThresholdDays,"unchanged",IF(R173&gt;0,"delayed","accelerated"))))</f>
        <v/>
      </c>
    </row>
    <row r="174">
      <c r="A174" s="2" t="n"/>
      <c r="B174" s="2" t="n"/>
      <c r="C174" s="2" t="n"/>
      <c r="D174" s="2" t="n"/>
      <c r="E174" s="2" t="n"/>
      <c r="F174" s="2" t="n"/>
      <c r="G174" s="3" t="n"/>
      <c r="H174" s="2" t="n"/>
      <c r="I174" s="3" t="n"/>
      <c r="J174" s="2" t="n"/>
      <c r="K174" s="2" t="n"/>
      <c r="L174" s="2" t="n"/>
      <c r="M174" s="2" t="n"/>
      <c r="N174" s="2" t="n"/>
      <c r="O174" s="2" t="n"/>
      <c r="P174" s="2" t="n"/>
      <c r="Q174" s="4">
        <f>IF(OR(A174="",E174=""),"",IF(MAXIFS($E$2:$E$1001,$A$2:$A$1001,A174,$E$2:$E$1001,"&lt;"&amp;E174)=0,"",SUMIFS($G$2:$G$1001,$A$2:$A$1001,A174,$E$2:$E$1001,MAXIFS($E$2:$E$1001,$A$2:$A$1001,A174,$E$2:$E$1001,"&lt;"&amp;E174))))</f>
        <v/>
      </c>
      <c r="R174" s="9">
        <f>IF(OR(Q174="",G174=""),"",G174-Q174)</f>
        <v/>
      </c>
      <c r="S174" s="9">
        <f>IF(R174="","",SUMIFS($R$2:$R$1001,$A$2:$A$1001,A174,$E$2:$E$1001,"&lt;="&amp;E174))</f>
        <v/>
      </c>
      <c r="T174" s="5">
        <f>IF(A174="","",IF(R174="","initial",IF(ABS(R174)&lt;=ShiftThresholdDays,"unchanged",IF(R174&gt;0,"delayed","accelerated"))))</f>
        <v/>
      </c>
    </row>
    <row r="175">
      <c r="A175" s="2" t="n"/>
      <c r="B175" s="2" t="n"/>
      <c r="C175" s="2" t="n"/>
      <c r="D175" s="2" t="n"/>
      <c r="E175" s="2" t="n"/>
      <c r="F175" s="2" t="n"/>
      <c r="G175" s="3" t="n"/>
      <c r="H175" s="2" t="n"/>
      <c r="I175" s="3" t="n"/>
      <c r="J175" s="2" t="n"/>
      <c r="K175" s="2" t="n"/>
      <c r="L175" s="2" t="n"/>
      <c r="M175" s="2" t="n"/>
      <c r="N175" s="2" t="n"/>
      <c r="O175" s="2" t="n"/>
      <c r="P175" s="2" t="n"/>
      <c r="Q175" s="4">
        <f>IF(OR(A175="",E175=""),"",IF(MAXIFS($E$2:$E$1001,$A$2:$A$1001,A175,$E$2:$E$1001,"&lt;"&amp;E175)=0,"",SUMIFS($G$2:$G$1001,$A$2:$A$1001,A175,$E$2:$E$1001,MAXIFS($E$2:$E$1001,$A$2:$A$1001,A175,$E$2:$E$1001,"&lt;"&amp;E175))))</f>
        <v/>
      </c>
      <c r="R175" s="9">
        <f>IF(OR(Q175="",G175=""),"",G175-Q175)</f>
        <v/>
      </c>
      <c r="S175" s="9">
        <f>IF(R175="","",SUMIFS($R$2:$R$1001,$A$2:$A$1001,A175,$E$2:$E$1001,"&lt;="&amp;E175))</f>
        <v/>
      </c>
      <c r="T175" s="5">
        <f>IF(A175="","",IF(R175="","initial",IF(ABS(R175)&lt;=ShiftThresholdDays,"unchanged",IF(R175&gt;0,"delayed","accelerated"))))</f>
        <v/>
      </c>
    </row>
    <row r="176">
      <c r="A176" s="2" t="n"/>
      <c r="B176" s="2" t="n"/>
      <c r="C176" s="2" t="n"/>
      <c r="D176" s="2" t="n"/>
      <c r="E176" s="2" t="n"/>
      <c r="F176" s="2" t="n"/>
      <c r="G176" s="3" t="n"/>
      <c r="H176" s="2" t="n"/>
      <c r="I176" s="3" t="n"/>
      <c r="J176" s="2" t="n"/>
      <c r="K176" s="2" t="n"/>
      <c r="L176" s="2" t="n"/>
      <c r="M176" s="2" t="n"/>
      <c r="N176" s="2" t="n"/>
      <c r="O176" s="2" t="n"/>
      <c r="P176" s="2" t="n"/>
      <c r="Q176" s="4">
        <f>IF(OR(A176="",E176=""),"",IF(MAXIFS($E$2:$E$1001,$A$2:$A$1001,A176,$E$2:$E$1001,"&lt;"&amp;E176)=0,"",SUMIFS($G$2:$G$1001,$A$2:$A$1001,A176,$E$2:$E$1001,MAXIFS($E$2:$E$1001,$A$2:$A$1001,A176,$E$2:$E$1001,"&lt;"&amp;E176))))</f>
        <v/>
      </c>
      <c r="R176" s="9">
        <f>IF(OR(Q176="",G176=""),"",G176-Q176)</f>
        <v/>
      </c>
      <c r="S176" s="9">
        <f>IF(R176="","",SUMIFS($R$2:$R$1001,$A$2:$A$1001,A176,$E$2:$E$1001,"&lt;="&amp;E176))</f>
        <v/>
      </c>
      <c r="T176" s="5">
        <f>IF(A176="","",IF(R176="","initial",IF(ABS(R176)&lt;=ShiftThresholdDays,"unchanged",IF(R176&gt;0,"delayed","accelerated"))))</f>
        <v/>
      </c>
    </row>
    <row r="177">
      <c r="A177" s="2" t="n"/>
      <c r="B177" s="2" t="n"/>
      <c r="C177" s="2" t="n"/>
      <c r="D177" s="2" t="n"/>
      <c r="E177" s="2" t="n"/>
      <c r="F177" s="2" t="n"/>
      <c r="G177" s="3" t="n"/>
      <c r="H177" s="2" t="n"/>
      <c r="I177" s="3" t="n"/>
      <c r="J177" s="2" t="n"/>
      <c r="K177" s="2" t="n"/>
      <c r="L177" s="2" t="n"/>
      <c r="M177" s="2" t="n"/>
      <c r="N177" s="2" t="n"/>
      <c r="O177" s="2" t="n"/>
      <c r="P177" s="2" t="n"/>
      <c r="Q177" s="4">
        <f>IF(OR(A177="",E177=""),"",IF(MAXIFS($E$2:$E$1001,$A$2:$A$1001,A177,$E$2:$E$1001,"&lt;"&amp;E177)=0,"",SUMIFS($G$2:$G$1001,$A$2:$A$1001,A177,$E$2:$E$1001,MAXIFS($E$2:$E$1001,$A$2:$A$1001,A177,$E$2:$E$1001,"&lt;"&amp;E177))))</f>
        <v/>
      </c>
      <c r="R177" s="9">
        <f>IF(OR(Q177="",G177=""),"",G177-Q177)</f>
        <v/>
      </c>
      <c r="S177" s="9">
        <f>IF(R177="","",SUMIFS($R$2:$R$1001,$A$2:$A$1001,A177,$E$2:$E$1001,"&lt;="&amp;E177))</f>
        <v/>
      </c>
      <c r="T177" s="5">
        <f>IF(A177="","",IF(R177="","initial",IF(ABS(R177)&lt;=ShiftThresholdDays,"unchanged",IF(R177&gt;0,"delayed","accelerated"))))</f>
        <v/>
      </c>
    </row>
    <row r="178">
      <c r="A178" s="2" t="n"/>
      <c r="B178" s="2" t="n"/>
      <c r="C178" s="2" t="n"/>
      <c r="D178" s="2" t="n"/>
      <c r="E178" s="2" t="n"/>
      <c r="F178" s="2" t="n"/>
      <c r="G178" s="3" t="n"/>
      <c r="H178" s="2" t="n"/>
      <c r="I178" s="3" t="n"/>
      <c r="J178" s="2" t="n"/>
      <c r="K178" s="2" t="n"/>
      <c r="L178" s="2" t="n"/>
      <c r="M178" s="2" t="n"/>
      <c r="N178" s="2" t="n"/>
      <c r="O178" s="2" t="n"/>
      <c r="P178" s="2" t="n"/>
      <c r="Q178" s="4">
        <f>IF(OR(A178="",E178=""),"",IF(MAXIFS($E$2:$E$1001,$A$2:$A$1001,A178,$E$2:$E$1001,"&lt;"&amp;E178)=0,"",SUMIFS($G$2:$G$1001,$A$2:$A$1001,A178,$E$2:$E$1001,MAXIFS($E$2:$E$1001,$A$2:$A$1001,A178,$E$2:$E$1001,"&lt;"&amp;E178))))</f>
        <v/>
      </c>
      <c r="R178" s="9">
        <f>IF(OR(Q178="",G178=""),"",G178-Q178)</f>
        <v/>
      </c>
      <c r="S178" s="9">
        <f>IF(R178="","",SUMIFS($R$2:$R$1001,$A$2:$A$1001,A178,$E$2:$E$1001,"&lt;="&amp;E178))</f>
        <v/>
      </c>
      <c r="T178" s="5">
        <f>IF(A178="","",IF(R178="","initial",IF(ABS(R178)&lt;=ShiftThresholdDays,"unchanged",IF(R178&gt;0,"delayed","accelerated"))))</f>
        <v/>
      </c>
    </row>
    <row r="179">
      <c r="A179" s="2" t="n"/>
      <c r="B179" s="2" t="n"/>
      <c r="C179" s="2" t="n"/>
      <c r="D179" s="2" t="n"/>
      <c r="E179" s="2" t="n"/>
      <c r="F179" s="2" t="n"/>
      <c r="G179" s="3" t="n"/>
      <c r="H179" s="2" t="n"/>
      <c r="I179" s="3" t="n"/>
      <c r="J179" s="2" t="n"/>
      <c r="K179" s="2" t="n"/>
      <c r="L179" s="2" t="n"/>
      <c r="M179" s="2" t="n"/>
      <c r="N179" s="2" t="n"/>
      <c r="O179" s="2" t="n"/>
      <c r="P179" s="2" t="n"/>
      <c r="Q179" s="4">
        <f>IF(OR(A179="",E179=""),"",IF(MAXIFS($E$2:$E$1001,$A$2:$A$1001,A179,$E$2:$E$1001,"&lt;"&amp;E179)=0,"",SUMIFS($G$2:$G$1001,$A$2:$A$1001,A179,$E$2:$E$1001,MAXIFS($E$2:$E$1001,$A$2:$A$1001,A179,$E$2:$E$1001,"&lt;"&amp;E179))))</f>
        <v/>
      </c>
      <c r="R179" s="9">
        <f>IF(OR(Q179="",G179=""),"",G179-Q179)</f>
        <v/>
      </c>
      <c r="S179" s="9">
        <f>IF(R179="","",SUMIFS($R$2:$R$1001,$A$2:$A$1001,A179,$E$2:$E$1001,"&lt;="&amp;E179))</f>
        <v/>
      </c>
      <c r="T179" s="5">
        <f>IF(A179="","",IF(R179="","initial",IF(ABS(R179)&lt;=ShiftThresholdDays,"unchanged",IF(R179&gt;0,"delayed","accelerated"))))</f>
        <v/>
      </c>
    </row>
    <row r="180">
      <c r="A180" s="2" t="n"/>
      <c r="B180" s="2" t="n"/>
      <c r="C180" s="2" t="n"/>
      <c r="D180" s="2" t="n"/>
      <c r="E180" s="2" t="n"/>
      <c r="F180" s="2" t="n"/>
      <c r="G180" s="3" t="n"/>
      <c r="H180" s="2" t="n"/>
      <c r="I180" s="3" t="n"/>
      <c r="J180" s="2" t="n"/>
      <c r="K180" s="2" t="n"/>
      <c r="L180" s="2" t="n"/>
      <c r="M180" s="2" t="n"/>
      <c r="N180" s="2" t="n"/>
      <c r="O180" s="2" t="n"/>
      <c r="P180" s="2" t="n"/>
      <c r="Q180" s="4">
        <f>IF(OR(A180="",E180=""),"",IF(MAXIFS($E$2:$E$1001,$A$2:$A$1001,A180,$E$2:$E$1001,"&lt;"&amp;E180)=0,"",SUMIFS($G$2:$G$1001,$A$2:$A$1001,A180,$E$2:$E$1001,MAXIFS($E$2:$E$1001,$A$2:$A$1001,A180,$E$2:$E$1001,"&lt;"&amp;E180))))</f>
        <v/>
      </c>
      <c r="R180" s="9">
        <f>IF(OR(Q180="",G180=""),"",G180-Q180)</f>
        <v/>
      </c>
      <c r="S180" s="9">
        <f>IF(R180="","",SUMIFS($R$2:$R$1001,$A$2:$A$1001,A180,$E$2:$E$1001,"&lt;="&amp;E180))</f>
        <v/>
      </c>
      <c r="T180" s="5">
        <f>IF(A180="","",IF(R180="","initial",IF(ABS(R180)&lt;=ShiftThresholdDays,"unchanged",IF(R180&gt;0,"delayed","accelerated"))))</f>
        <v/>
      </c>
    </row>
    <row r="181">
      <c r="A181" s="2" t="n"/>
      <c r="B181" s="2" t="n"/>
      <c r="C181" s="2" t="n"/>
      <c r="D181" s="2" t="n"/>
      <c r="E181" s="2" t="n"/>
      <c r="F181" s="2" t="n"/>
      <c r="G181" s="3" t="n"/>
      <c r="H181" s="2" t="n"/>
      <c r="I181" s="3" t="n"/>
      <c r="J181" s="2" t="n"/>
      <c r="K181" s="2" t="n"/>
      <c r="L181" s="2" t="n"/>
      <c r="M181" s="2" t="n"/>
      <c r="N181" s="2" t="n"/>
      <c r="O181" s="2" t="n"/>
      <c r="P181" s="2" t="n"/>
      <c r="Q181" s="4">
        <f>IF(OR(A181="",E181=""),"",IF(MAXIFS($E$2:$E$1001,$A$2:$A$1001,A181,$E$2:$E$1001,"&lt;"&amp;E181)=0,"",SUMIFS($G$2:$G$1001,$A$2:$A$1001,A181,$E$2:$E$1001,MAXIFS($E$2:$E$1001,$A$2:$A$1001,A181,$E$2:$E$1001,"&lt;"&amp;E181))))</f>
        <v/>
      </c>
      <c r="R181" s="9">
        <f>IF(OR(Q181="",G181=""),"",G181-Q181)</f>
        <v/>
      </c>
      <c r="S181" s="9">
        <f>IF(R181="","",SUMIFS($R$2:$R$1001,$A$2:$A$1001,A181,$E$2:$E$1001,"&lt;="&amp;E181))</f>
        <v/>
      </c>
      <c r="T181" s="5">
        <f>IF(A181="","",IF(R181="","initial",IF(ABS(R181)&lt;=ShiftThresholdDays,"unchanged",IF(R181&gt;0,"delayed","accelerated"))))</f>
        <v/>
      </c>
    </row>
    <row r="182">
      <c r="A182" s="2" t="n"/>
      <c r="B182" s="2" t="n"/>
      <c r="C182" s="2" t="n"/>
      <c r="D182" s="2" t="n"/>
      <c r="E182" s="2" t="n"/>
      <c r="F182" s="2" t="n"/>
      <c r="G182" s="3" t="n"/>
      <c r="H182" s="2" t="n"/>
      <c r="I182" s="3" t="n"/>
      <c r="J182" s="2" t="n"/>
      <c r="K182" s="2" t="n"/>
      <c r="L182" s="2" t="n"/>
      <c r="M182" s="2" t="n"/>
      <c r="N182" s="2" t="n"/>
      <c r="O182" s="2" t="n"/>
      <c r="P182" s="2" t="n"/>
      <c r="Q182" s="4">
        <f>IF(OR(A182="",E182=""),"",IF(MAXIFS($E$2:$E$1001,$A$2:$A$1001,A182,$E$2:$E$1001,"&lt;"&amp;E182)=0,"",SUMIFS($G$2:$G$1001,$A$2:$A$1001,A182,$E$2:$E$1001,MAXIFS($E$2:$E$1001,$A$2:$A$1001,A182,$E$2:$E$1001,"&lt;"&amp;E182))))</f>
        <v/>
      </c>
      <c r="R182" s="9">
        <f>IF(OR(Q182="",G182=""),"",G182-Q182)</f>
        <v/>
      </c>
      <c r="S182" s="9">
        <f>IF(R182="","",SUMIFS($R$2:$R$1001,$A$2:$A$1001,A182,$E$2:$E$1001,"&lt;="&amp;E182))</f>
        <v/>
      </c>
      <c r="T182" s="5">
        <f>IF(A182="","",IF(R182="","initial",IF(ABS(R182)&lt;=ShiftThresholdDays,"unchanged",IF(R182&gt;0,"delayed","accelerated"))))</f>
        <v/>
      </c>
    </row>
    <row r="183">
      <c r="A183" s="2" t="n"/>
      <c r="B183" s="2" t="n"/>
      <c r="C183" s="2" t="n"/>
      <c r="D183" s="2" t="n"/>
      <c r="E183" s="2" t="n"/>
      <c r="F183" s="2" t="n"/>
      <c r="G183" s="3" t="n"/>
      <c r="H183" s="2" t="n"/>
      <c r="I183" s="3" t="n"/>
      <c r="J183" s="2" t="n"/>
      <c r="K183" s="2" t="n"/>
      <c r="L183" s="2" t="n"/>
      <c r="M183" s="2" t="n"/>
      <c r="N183" s="2" t="n"/>
      <c r="O183" s="2" t="n"/>
      <c r="P183" s="2" t="n"/>
      <c r="Q183" s="4">
        <f>IF(OR(A183="",E183=""),"",IF(MAXIFS($E$2:$E$1001,$A$2:$A$1001,A183,$E$2:$E$1001,"&lt;"&amp;E183)=0,"",SUMIFS($G$2:$G$1001,$A$2:$A$1001,A183,$E$2:$E$1001,MAXIFS($E$2:$E$1001,$A$2:$A$1001,A183,$E$2:$E$1001,"&lt;"&amp;E183))))</f>
        <v/>
      </c>
      <c r="R183" s="9">
        <f>IF(OR(Q183="",G183=""),"",G183-Q183)</f>
        <v/>
      </c>
      <c r="S183" s="9">
        <f>IF(R183="","",SUMIFS($R$2:$R$1001,$A$2:$A$1001,A183,$E$2:$E$1001,"&lt;="&amp;E183))</f>
        <v/>
      </c>
      <c r="T183" s="5">
        <f>IF(A183="","",IF(R183="","initial",IF(ABS(R183)&lt;=ShiftThresholdDays,"unchanged",IF(R183&gt;0,"delayed","accelerated"))))</f>
        <v/>
      </c>
    </row>
    <row r="184">
      <c r="A184" s="2" t="n"/>
      <c r="B184" s="2" t="n"/>
      <c r="C184" s="2" t="n"/>
      <c r="D184" s="2" t="n"/>
      <c r="E184" s="2" t="n"/>
      <c r="F184" s="2" t="n"/>
      <c r="G184" s="3" t="n"/>
      <c r="H184" s="2" t="n"/>
      <c r="I184" s="3" t="n"/>
      <c r="J184" s="2" t="n"/>
      <c r="K184" s="2" t="n"/>
      <c r="L184" s="2" t="n"/>
      <c r="M184" s="2" t="n"/>
      <c r="N184" s="2" t="n"/>
      <c r="O184" s="2" t="n"/>
      <c r="P184" s="2" t="n"/>
      <c r="Q184" s="4">
        <f>IF(OR(A184="",E184=""),"",IF(MAXIFS($E$2:$E$1001,$A$2:$A$1001,A184,$E$2:$E$1001,"&lt;"&amp;E184)=0,"",SUMIFS($G$2:$G$1001,$A$2:$A$1001,A184,$E$2:$E$1001,MAXIFS($E$2:$E$1001,$A$2:$A$1001,A184,$E$2:$E$1001,"&lt;"&amp;E184))))</f>
        <v/>
      </c>
      <c r="R184" s="9">
        <f>IF(OR(Q184="",G184=""),"",G184-Q184)</f>
        <v/>
      </c>
      <c r="S184" s="9">
        <f>IF(R184="","",SUMIFS($R$2:$R$1001,$A$2:$A$1001,A184,$E$2:$E$1001,"&lt;="&amp;E184))</f>
        <v/>
      </c>
      <c r="T184" s="5">
        <f>IF(A184="","",IF(R184="","initial",IF(ABS(R184)&lt;=ShiftThresholdDays,"unchanged",IF(R184&gt;0,"delayed","accelerated"))))</f>
        <v/>
      </c>
    </row>
    <row r="185">
      <c r="A185" s="2" t="n"/>
      <c r="B185" s="2" t="n"/>
      <c r="C185" s="2" t="n"/>
      <c r="D185" s="2" t="n"/>
      <c r="E185" s="2" t="n"/>
      <c r="F185" s="2" t="n"/>
      <c r="G185" s="3" t="n"/>
      <c r="H185" s="2" t="n"/>
      <c r="I185" s="3" t="n"/>
      <c r="J185" s="2" t="n"/>
      <c r="K185" s="2" t="n"/>
      <c r="L185" s="2" t="n"/>
      <c r="M185" s="2" t="n"/>
      <c r="N185" s="2" t="n"/>
      <c r="O185" s="2" t="n"/>
      <c r="P185" s="2" t="n"/>
      <c r="Q185" s="4">
        <f>IF(OR(A185="",E185=""),"",IF(MAXIFS($E$2:$E$1001,$A$2:$A$1001,A185,$E$2:$E$1001,"&lt;"&amp;E185)=0,"",SUMIFS($G$2:$G$1001,$A$2:$A$1001,A185,$E$2:$E$1001,MAXIFS($E$2:$E$1001,$A$2:$A$1001,A185,$E$2:$E$1001,"&lt;"&amp;E185))))</f>
        <v/>
      </c>
      <c r="R185" s="9">
        <f>IF(OR(Q185="",G185=""),"",G185-Q185)</f>
        <v/>
      </c>
      <c r="S185" s="9">
        <f>IF(R185="","",SUMIFS($R$2:$R$1001,$A$2:$A$1001,A185,$E$2:$E$1001,"&lt;="&amp;E185))</f>
        <v/>
      </c>
      <c r="T185" s="5">
        <f>IF(A185="","",IF(R185="","initial",IF(ABS(R185)&lt;=ShiftThresholdDays,"unchanged",IF(R185&gt;0,"delayed","accelerated"))))</f>
        <v/>
      </c>
    </row>
    <row r="186">
      <c r="A186" s="2" t="n"/>
      <c r="B186" s="2" t="n"/>
      <c r="C186" s="2" t="n"/>
      <c r="D186" s="2" t="n"/>
      <c r="E186" s="2" t="n"/>
      <c r="F186" s="2" t="n"/>
      <c r="G186" s="3" t="n"/>
      <c r="H186" s="2" t="n"/>
      <c r="I186" s="3" t="n"/>
      <c r="J186" s="2" t="n"/>
      <c r="K186" s="2" t="n"/>
      <c r="L186" s="2" t="n"/>
      <c r="M186" s="2" t="n"/>
      <c r="N186" s="2" t="n"/>
      <c r="O186" s="2" t="n"/>
      <c r="P186" s="2" t="n"/>
      <c r="Q186" s="4">
        <f>IF(OR(A186="",E186=""),"",IF(MAXIFS($E$2:$E$1001,$A$2:$A$1001,A186,$E$2:$E$1001,"&lt;"&amp;E186)=0,"",SUMIFS($G$2:$G$1001,$A$2:$A$1001,A186,$E$2:$E$1001,MAXIFS($E$2:$E$1001,$A$2:$A$1001,A186,$E$2:$E$1001,"&lt;"&amp;E186))))</f>
        <v/>
      </c>
      <c r="R186" s="9">
        <f>IF(OR(Q186="",G186=""),"",G186-Q186)</f>
        <v/>
      </c>
      <c r="S186" s="9">
        <f>IF(R186="","",SUMIFS($R$2:$R$1001,$A$2:$A$1001,A186,$E$2:$E$1001,"&lt;="&amp;E186))</f>
        <v/>
      </c>
      <c r="T186" s="5">
        <f>IF(A186="","",IF(R186="","initial",IF(ABS(R186)&lt;=ShiftThresholdDays,"unchanged",IF(R186&gt;0,"delayed","accelerated"))))</f>
        <v/>
      </c>
    </row>
    <row r="187">
      <c r="A187" s="2" t="n"/>
      <c r="B187" s="2" t="n"/>
      <c r="C187" s="2" t="n"/>
      <c r="D187" s="2" t="n"/>
      <c r="E187" s="2" t="n"/>
      <c r="F187" s="2" t="n"/>
      <c r="G187" s="3" t="n"/>
      <c r="H187" s="2" t="n"/>
      <c r="I187" s="3" t="n"/>
      <c r="J187" s="2" t="n"/>
      <c r="K187" s="2" t="n"/>
      <c r="L187" s="2" t="n"/>
      <c r="M187" s="2" t="n"/>
      <c r="N187" s="2" t="n"/>
      <c r="O187" s="2" t="n"/>
      <c r="P187" s="2" t="n"/>
      <c r="Q187" s="4">
        <f>IF(OR(A187="",E187=""),"",IF(MAXIFS($E$2:$E$1001,$A$2:$A$1001,A187,$E$2:$E$1001,"&lt;"&amp;E187)=0,"",SUMIFS($G$2:$G$1001,$A$2:$A$1001,A187,$E$2:$E$1001,MAXIFS($E$2:$E$1001,$A$2:$A$1001,A187,$E$2:$E$1001,"&lt;"&amp;E187))))</f>
        <v/>
      </c>
      <c r="R187" s="9">
        <f>IF(OR(Q187="",G187=""),"",G187-Q187)</f>
        <v/>
      </c>
      <c r="S187" s="9">
        <f>IF(R187="","",SUMIFS($R$2:$R$1001,$A$2:$A$1001,A187,$E$2:$E$1001,"&lt;="&amp;E187))</f>
        <v/>
      </c>
      <c r="T187" s="5">
        <f>IF(A187="","",IF(R187="","initial",IF(ABS(R187)&lt;=ShiftThresholdDays,"unchanged",IF(R187&gt;0,"delayed","accelerated"))))</f>
        <v/>
      </c>
    </row>
    <row r="188">
      <c r="A188" s="2" t="n"/>
      <c r="B188" s="2" t="n"/>
      <c r="C188" s="2" t="n"/>
      <c r="D188" s="2" t="n"/>
      <c r="E188" s="2" t="n"/>
      <c r="F188" s="2" t="n"/>
      <c r="G188" s="3" t="n"/>
      <c r="H188" s="2" t="n"/>
      <c r="I188" s="3" t="n"/>
      <c r="J188" s="2" t="n"/>
      <c r="K188" s="2" t="n"/>
      <c r="L188" s="2" t="n"/>
      <c r="M188" s="2" t="n"/>
      <c r="N188" s="2" t="n"/>
      <c r="O188" s="2" t="n"/>
      <c r="P188" s="2" t="n"/>
      <c r="Q188" s="4">
        <f>IF(OR(A188="",E188=""),"",IF(MAXIFS($E$2:$E$1001,$A$2:$A$1001,A188,$E$2:$E$1001,"&lt;"&amp;E188)=0,"",SUMIFS($G$2:$G$1001,$A$2:$A$1001,A188,$E$2:$E$1001,MAXIFS($E$2:$E$1001,$A$2:$A$1001,A188,$E$2:$E$1001,"&lt;"&amp;E188))))</f>
        <v/>
      </c>
      <c r="R188" s="9">
        <f>IF(OR(Q188="",G188=""),"",G188-Q188)</f>
        <v/>
      </c>
      <c r="S188" s="9">
        <f>IF(R188="","",SUMIFS($R$2:$R$1001,$A$2:$A$1001,A188,$E$2:$E$1001,"&lt;="&amp;E188))</f>
        <v/>
      </c>
      <c r="T188" s="5">
        <f>IF(A188="","",IF(R188="","initial",IF(ABS(R188)&lt;=ShiftThresholdDays,"unchanged",IF(R188&gt;0,"delayed","accelerated"))))</f>
        <v/>
      </c>
    </row>
    <row r="189">
      <c r="A189" s="2" t="n"/>
      <c r="B189" s="2" t="n"/>
      <c r="C189" s="2" t="n"/>
      <c r="D189" s="2" t="n"/>
      <c r="E189" s="2" t="n"/>
      <c r="F189" s="2" t="n"/>
      <c r="G189" s="3" t="n"/>
      <c r="H189" s="2" t="n"/>
      <c r="I189" s="3" t="n"/>
      <c r="J189" s="2" t="n"/>
      <c r="K189" s="2" t="n"/>
      <c r="L189" s="2" t="n"/>
      <c r="M189" s="2" t="n"/>
      <c r="N189" s="2" t="n"/>
      <c r="O189" s="2" t="n"/>
      <c r="P189" s="2" t="n"/>
      <c r="Q189" s="4">
        <f>IF(OR(A189="",E189=""),"",IF(MAXIFS($E$2:$E$1001,$A$2:$A$1001,A189,$E$2:$E$1001,"&lt;"&amp;E189)=0,"",SUMIFS($G$2:$G$1001,$A$2:$A$1001,A189,$E$2:$E$1001,MAXIFS($E$2:$E$1001,$A$2:$A$1001,A189,$E$2:$E$1001,"&lt;"&amp;E189))))</f>
        <v/>
      </c>
      <c r="R189" s="9">
        <f>IF(OR(Q189="",G189=""),"",G189-Q189)</f>
        <v/>
      </c>
      <c r="S189" s="9">
        <f>IF(R189="","",SUMIFS($R$2:$R$1001,$A$2:$A$1001,A189,$E$2:$E$1001,"&lt;="&amp;E189))</f>
        <v/>
      </c>
      <c r="T189" s="5">
        <f>IF(A189="","",IF(R189="","initial",IF(ABS(R189)&lt;=ShiftThresholdDays,"unchanged",IF(R189&gt;0,"delayed","accelerated"))))</f>
        <v/>
      </c>
    </row>
    <row r="190">
      <c r="A190" s="2" t="n"/>
      <c r="B190" s="2" t="n"/>
      <c r="C190" s="2" t="n"/>
      <c r="D190" s="2" t="n"/>
      <c r="E190" s="2" t="n"/>
      <c r="F190" s="2" t="n"/>
      <c r="G190" s="3" t="n"/>
      <c r="H190" s="2" t="n"/>
      <c r="I190" s="3" t="n"/>
      <c r="J190" s="2" t="n"/>
      <c r="K190" s="2" t="n"/>
      <c r="L190" s="2" t="n"/>
      <c r="M190" s="2" t="n"/>
      <c r="N190" s="2" t="n"/>
      <c r="O190" s="2" t="n"/>
      <c r="P190" s="2" t="n"/>
      <c r="Q190" s="4">
        <f>IF(OR(A190="",E190=""),"",IF(MAXIFS($E$2:$E$1001,$A$2:$A$1001,A190,$E$2:$E$1001,"&lt;"&amp;E190)=0,"",SUMIFS($G$2:$G$1001,$A$2:$A$1001,A190,$E$2:$E$1001,MAXIFS($E$2:$E$1001,$A$2:$A$1001,A190,$E$2:$E$1001,"&lt;"&amp;E190))))</f>
        <v/>
      </c>
      <c r="R190" s="9">
        <f>IF(OR(Q190="",G190=""),"",G190-Q190)</f>
        <v/>
      </c>
      <c r="S190" s="9">
        <f>IF(R190="","",SUMIFS($R$2:$R$1001,$A$2:$A$1001,A190,$E$2:$E$1001,"&lt;="&amp;E190))</f>
        <v/>
      </c>
      <c r="T190" s="5">
        <f>IF(A190="","",IF(R190="","initial",IF(ABS(R190)&lt;=ShiftThresholdDays,"unchanged",IF(R190&gt;0,"delayed","accelerated"))))</f>
        <v/>
      </c>
    </row>
    <row r="191">
      <c r="A191" s="2" t="n"/>
      <c r="B191" s="2" t="n"/>
      <c r="C191" s="2" t="n"/>
      <c r="D191" s="2" t="n"/>
      <c r="E191" s="2" t="n"/>
      <c r="F191" s="2" t="n"/>
      <c r="G191" s="3" t="n"/>
      <c r="H191" s="2" t="n"/>
      <c r="I191" s="3" t="n"/>
      <c r="J191" s="2" t="n"/>
      <c r="K191" s="2" t="n"/>
      <c r="L191" s="2" t="n"/>
      <c r="M191" s="2" t="n"/>
      <c r="N191" s="2" t="n"/>
      <c r="O191" s="2" t="n"/>
      <c r="P191" s="2" t="n"/>
      <c r="Q191" s="4">
        <f>IF(OR(A191="",E191=""),"",IF(MAXIFS($E$2:$E$1001,$A$2:$A$1001,A191,$E$2:$E$1001,"&lt;"&amp;E191)=0,"",SUMIFS($G$2:$G$1001,$A$2:$A$1001,A191,$E$2:$E$1001,MAXIFS($E$2:$E$1001,$A$2:$A$1001,A191,$E$2:$E$1001,"&lt;"&amp;E191))))</f>
        <v/>
      </c>
      <c r="R191" s="9">
        <f>IF(OR(Q191="",G191=""),"",G191-Q191)</f>
        <v/>
      </c>
      <c r="S191" s="9">
        <f>IF(R191="","",SUMIFS($R$2:$R$1001,$A$2:$A$1001,A191,$E$2:$E$1001,"&lt;="&amp;E191))</f>
        <v/>
      </c>
      <c r="T191" s="5">
        <f>IF(A191="","",IF(R191="","initial",IF(ABS(R191)&lt;=ShiftThresholdDays,"unchanged",IF(R191&gt;0,"delayed","accelerated"))))</f>
        <v/>
      </c>
    </row>
    <row r="192">
      <c r="A192" s="2" t="n"/>
      <c r="B192" s="2" t="n"/>
      <c r="C192" s="2" t="n"/>
      <c r="D192" s="2" t="n"/>
      <c r="E192" s="2" t="n"/>
      <c r="F192" s="2" t="n"/>
      <c r="G192" s="3" t="n"/>
      <c r="H192" s="2" t="n"/>
      <c r="I192" s="3" t="n"/>
      <c r="J192" s="2" t="n"/>
      <c r="K192" s="2" t="n"/>
      <c r="L192" s="2" t="n"/>
      <c r="M192" s="2" t="n"/>
      <c r="N192" s="2" t="n"/>
      <c r="O192" s="2" t="n"/>
      <c r="P192" s="2" t="n"/>
      <c r="Q192" s="4">
        <f>IF(OR(A192="",E192=""),"",IF(MAXIFS($E$2:$E$1001,$A$2:$A$1001,A192,$E$2:$E$1001,"&lt;"&amp;E192)=0,"",SUMIFS($G$2:$G$1001,$A$2:$A$1001,A192,$E$2:$E$1001,MAXIFS($E$2:$E$1001,$A$2:$A$1001,A192,$E$2:$E$1001,"&lt;"&amp;E192))))</f>
        <v/>
      </c>
      <c r="R192" s="9">
        <f>IF(OR(Q192="",G192=""),"",G192-Q192)</f>
        <v/>
      </c>
      <c r="S192" s="9">
        <f>IF(R192="","",SUMIFS($R$2:$R$1001,$A$2:$A$1001,A192,$E$2:$E$1001,"&lt;="&amp;E192))</f>
        <v/>
      </c>
      <c r="T192" s="5">
        <f>IF(A192="","",IF(R192="","initial",IF(ABS(R192)&lt;=ShiftThresholdDays,"unchanged",IF(R192&gt;0,"delayed","accelerated"))))</f>
        <v/>
      </c>
    </row>
    <row r="193">
      <c r="A193" s="2" t="n"/>
      <c r="B193" s="2" t="n"/>
      <c r="C193" s="2" t="n"/>
      <c r="D193" s="2" t="n"/>
      <c r="E193" s="2" t="n"/>
      <c r="F193" s="2" t="n"/>
      <c r="G193" s="3" t="n"/>
      <c r="H193" s="2" t="n"/>
      <c r="I193" s="3" t="n"/>
      <c r="J193" s="2" t="n"/>
      <c r="K193" s="2" t="n"/>
      <c r="L193" s="2" t="n"/>
      <c r="M193" s="2" t="n"/>
      <c r="N193" s="2" t="n"/>
      <c r="O193" s="2" t="n"/>
      <c r="P193" s="2" t="n"/>
      <c r="Q193" s="4">
        <f>IF(OR(A193="",E193=""),"",IF(MAXIFS($E$2:$E$1001,$A$2:$A$1001,A193,$E$2:$E$1001,"&lt;"&amp;E193)=0,"",SUMIFS($G$2:$G$1001,$A$2:$A$1001,A193,$E$2:$E$1001,MAXIFS($E$2:$E$1001,$A$2:$A$1001,A193,$E$2:$E$1001,"&lt;"&amp;E193))))</f>
        <v/>
      </c>
      <c r="R193" s="9">
        <f>IF(OR(Q193="",G193=""),"",G193-Q193)</f>
        <v/>
      </c>
      <c r="S193" s="9">
        <f>IF(R193="","",SUMIFS($R$2:$R$1001,$A$2:$A$1001,A193,$E$2:$E$1001,"&lt;="&amp;E193))</f>
        <v/>
      </c>
      <c r="T193" s="5">
        <f>IF(A193="","",IF(R193="","initial",IF(ABS(R193)&lt;=ShiftThresholdDays,"unchanged",IF(R193&gt;0,"delayed","accelerated"))))</f>
        <v/>
      </c>
    </row>
    <row r="194">
      <c r="A194" s="2" t="n"/>
      <c r="B194" s="2" t="n"/>
      <c r="C194" s="2" t="n"/>
      <c r="D194" s="2" t="n"/>
      <c r="E194" s="2" t="n"/>
      <c r="F194" s="2" t="n"/>
      <c r="G194" s="3" t="n"/>
      <c r="H194" s="2" t="n"/>
      <c r="I194" s="3" t="n"/>
      <c r="J194" s="2" t="n"/>
      <c r="K194" s="2" t="n"/>
      <c r="L194" s="2" t="n"/>
      <c r="M194" s="2" t="n"/>
      <c r="N194" s="2" t="n"/>
      <c r="O194" s="2" t="n"/>
      <c r="P194" s="2" t="n"/>
      <c r="Q194" s="4">
        <f>IF(OR(A194="",E194=""),"",IF(MAXIFS($E$2:$E$1001,$A$2:$A$1001,A194,$E$2:$E$1001,"&lt;"&amp;E194)=0,"",SUMIFS($G$2:$G$1001,$A$2:$A$1001,A194,$E$2:$E$1001,MAXIFS($E$2:$E$1001,$A$2:$A$1001,A194,$E$2:$E$1001,"&lt;"&amp;E194))))</f>
        <v/>
      </c>
      <c r="R194" s="9">
        <f>IF(OR(Q194="",G194=""),"",G194-Q194)</f>
        <v/>
      </c>
      <c r="S194" s="9">
        <f>IF(R194="","",SUMIFS($R$2:$R$1001,$A$2:$A$1001,A194,$E$2:$E$1001,"&lt;="&amp;E194))</f>
        <v/>
      </c>
      <c r="T194" s="5">
        <f>IF(A194="","",IF(R194="","initial",IF(ABS(R194)&lt;=ShiftThresholdDays,"unchanged",IF(R194&gt;0,"delayed","accelerated"))))</f>
        <v/>
      </c>
    </row>
    <row r="195">
      <c r="A195" s="2" t="n"/>
      <c r="B195" s="2" t="n"/>
      <c r="C195" s="2" t="n"/>
      <c r="D195" s="2" t="n"/>
      <c r="E195" s="2" t="n"/>
      <c r="F195" s="2" t="n"/>
      <c r="G195" s="3" t="n"/>
      <c r="H195" s="2" t="n"/>
      <c r="I195" s="3" t="n"/>
      <c r="J195" s="2" t="n"/>
      <c r="K195" s="2" t="n"/>
      <c r="L195" s="2" t="n"/>
      <c r="M195" s="2" t="n"/>
      <c r="N195" s="2" t="n"/>
      <c r="O195" s="2" t="n"/>
      <c r="P195" s="2" t="n"/>
      <c r="Q195" s="4">
        <f>IF(OR(A195="",E195=""),"",IF(MAXIFS($E$2:$E$1001,$A$2:$A$1001,A195,$E$2:$E$1001,"&lt;"&amp;E195)=0,"",SUMIFS($G$2:$G$1001,$A$2:$A$1001,A195,$E$2:$E$1001,MAXIFS($E$2:$E$1001,$A$2:$A$1001,A195,$E$2:$E$1001,"&lt;"&amp;E195))))</f>
        <v/>
      </c>
      <c r="R195" s="9">
        <f>IF(OR(Q195="",G195=""),"",G195-Q195)</f>
        <v/>
      </c>
      <c r="S195" s="9">
        <f>IF(R195="","",SUMIFS($R$2:$R$1001,$A$2:$A$1001,A195,$E$2:$E$1001,"&lt;="&amp;E195))</f>
        <v/>
      </c>
      <c r="T195" s="5">
        <f>IF(A195="","",IF(R195="","initial",IF(ABS(R195)&lt;=ShiftThresholdDays,"unchanged",IF(R195&gt;0,"delayed","accelerated"))))</f>
        <v/>
      </c>
    </row>
    <row r="196">
      <c r="A196" s="2" t="n"/>
      <c r="B196" s="2" t="n"/>
      <c r="C196" s="2" t="n"/>
      <c r="D196" s="2" t="n"/>
      <c r="E196" s="2" t="n"/>
      <c r="F196" s="2" t="n"/>
      <c r="G196" s="3" t="n"/>
      <c r="H196" s="2" t="n"/>
      <c r="I196" s="3" t="n"/>
      <c r="J196" s="2" t="n"/>
      <c r="K196" s="2" t="n"/>
      <c r="L196" s="2" t="n"/>
      <c r="M196" s="2" t="n"/>
      <c r="N196" s="2" t="n"/>
      <c r="O196" s="2" t="n"/>
      <c r="P196" s="2" t="n"/>
      <c r="Q196" s="4">
        <f>IF(OR(A196="",E196=""),"",IF(MAXIFS($E$2:$E$1001,$A$2:$A$1001,A196,$E$2:$E$1001,"&lt;"&amp;E196)=0,"",SUMIFS($G$2:$G$1001,$A$2:$A$1001,A196,$E$2:$E$1001,MAXIFS($E$2:$E$1001,$A$2:$A$1001,A196,$E$2:$E$1001,"&lt;"&amp;E196))))</f>
        <v/>
      </c>
      <c r="R196" s="9">
        <f>IF(OR(Q196="",G196=""),"",G196-Q196)</f>
        <v/>
      </c>
      <c r="S196" s="9">
        <f>IF(R196="","",SUMIFS($R$2:$R$1001,$A$2:$A$1001,A196,$E$2:$E$1001,"&lt;="&amp;E196))</f>
        <v/>
      </c>
      <c r="T196" s="5">
        <f>IF(A196="","",IF(R196="","initial",IF(ABS(R196)&lt;=ShiftThresholdDays,"unchanged",IF(R196&gt;0,"delayed","accelerated"))))</f>
        <v/>
      </c>
    </row>
    <row r="197">
      <c r="A197" s="2" t="n"/>
      <c r="B197" s="2" t="n"/>
      <c r="C197" s="2" t="n"/>
      <c r="D197" s="2" t="n"/>
      <c r="E197" s="2" t="n"/>
      <c r="F197" s="2" t="n"/>
      <c r="G197" s="3" t="n"/>
      <c r="H197" s="2" t="n"/>
      <c r="I197" s="3" t="n"/>
      <c r="J197" s="2" t="n"/>
      <c r="K197" s="2" t="n"/>
      <c r="L197" s="2" t="n"/>
      <c r="M197" s="2" t="n"/>
      <c r="N197" s="2" t="n"/>
      <c r="O197" s="2" t="n"/>
      <c r="P197" s="2" t="n"/>
      <c r="Q197" s="4">
        <f>IF(OR(A197="",E197=""),"",IF(MAXIFS($E$2:$E$1001,$A$2:$A$1001,A197,$E$2:$E$1001,"&lt;"&amp;E197)=0,"",SUMIFS($G$2:$G$1001,$A$2:$A$1001,A197,$E$2:$E$1001,MAXIFS($E$2:$E$1001,$A$2:$A$1001,A197,$E$2:$E$1001,"&lt;"&amp;E197))))</f>
        <v/>
      </c>
      <c r="R197" s="9">
        <f>IF(OR(Q197="",G197=""),"",G197-Q197)</f>
        <v/>
      </c>
      <c r="S197" s="9">
        <f>IF(R197="","",SUMIFS($R$2:$R$1001,$A$2:$A$1001,A197,$E$2:$E$1001,"&lt;="&amp;E197))</f>
        <v/>
      </c>
      <c r="T197" s="5">
        <f>IF(A197="","",IF(R197="","initial",IF(ABS(R197)&lt;=ShiftThresholdDays,"unchanged",IF(R197&gt;0,"delayed","accelerated"))))</f>
        <v/>
      </c>
    </row>
    <row r="198">
      <c r="A198" s="2" t="n"/>
      <c r="B198" s="2" t="n"/>
      <c r="C198" s="2" t="n"/>
      <c r="D198" s="2" t="n"/>
      <c r="E198" s="2" t="n"/>
      <c r="F198" s="2" t="n"/>
      <c r="G198" s="3" t="n"/>
      <c r="H198" s="2" t="n"/>
      <c r="I198" s="3" t="n"/>
      <c r="J198" s="2" t="n"/>
      <c r="K198" s="2" t="n"/>
      <c r="L198" s="2" t="n"/>
      <c r="M198" s="2" t="n"/>
      <c r="N198" s="2" t="n"/>
      <c r="O198" s="2" t="n"/>
      <c r="P198" s="2" t="n"/>
      <c r="Q198" s="4">
        <f>IF(OR(A198="",E198=""),"",IF(MAXIFS($E$2:$E$1001,$A$2:$A$1001,A198,$E$2:$E$1001,"&lt;"&amp;E198)=0,"",SUMIFS($G$2:$G$1001,$A$2:$A$1001,A198,$E$2:$E$1001,MAXIFS($E$2:$E$1001,$A$2:$A$1001,A198,$E$2:$E$1001,"&lt;"&amp;E198))))</f>
        <v/>
      </c>
      <c r="R198" s="9">
        <f>IF(OR(Q198="",G198=""),"",G198-Q198)</f>
        <v/>
      </c>
      <c r="S198" s="9">
        <f>IF(R198="","",SUMIFS($R$2:$R$1001,$A$2:$A$1001,A198,$E$2:$E$1001,"&lt;="&amp;E198))</f>
        <v/>
      </c>
      <c r="T198" s="5">
        <f>IF(A198="","",IF(R198="","initial",IF(ABS(R198)&lt;=ShiftThresholdDays,"unchanged",IF(R198&gt;0,"delayed","accelerated"))))</f>
        <v/>
      </c>
    </row>
    <row r="199">
      <c r="A199" s="2" t="n"/>
      <c r="B199" s="2" t="n"/>
      <c r="C199" s="2" t="n"/>
      <c r="D199" s="2" t="n"/>
      <c r="E199" s="2" t="n"/>
      <c r="F199" s="2" t="n"/>
      <c r="G199" s="3" t="n"/>
      <c r="H199" s="2" t="n"/>
      <c r="I199" s="3" t="n"/>
      <c r="J199" s="2" t="n"/>
      <c r="K199" s="2" t="n"/>
      <c r="L199" s="2" t="n"/>
      <c r="M199" s="2" t="n"/>
      <c r="N199" s="2" t="n"/>
      <c r="O199" s="2" t="n"/>
      <c r="P199" s="2" t="n"/>
      <c r="Q199" s="4">
        <f>IF(OR(A199="",E199=""),"",IF(MAXIFS($E$2:$E$1001,$A$2:$A$1001,A199,$E$2:$E$1001,"&lt;"&amp;E199)=0,"",SUMIFS($G$2:$G$1001,$A$2:$A$1001,A199,$E$2:$E$1001,MAXIFS($E$2:$E$1001,$A$2:$A$1001,A199,$E$2:$E$1001,"&lt;"&amp;E199))))</f>
        <v/>
      </c>
      <c r="R199" s="9">
        <f>IF(OR(Q199="",G199=""),"",G199-Q199)</f>
        <v/>
      </c>
      <c r="S199" s="9">
        <f>IF(R199="","",SUMIFS($R$2:$R$1001,$A$2:$A$1001,A199,$E$2:$E$1001,"&lt;="&amp;E199))</f>
        <v/>
      </c>
      <c r="T199" s="5">
        <f>IF(A199="","",IF(R199="","initial",IF(ABS(R199)&lt;=ShiftThresholdDays,"unchanged",IF(R199&gt;0,"delayed","accelerated"))))</f>
        <v/>
      </c>
    </row>
    <row r="200">
      <c r="A200" s="2" t="n"/>
      <c r="B200" s="2" t="n"/>
      <c r="C200" s="2" t="n"/>
      <c r="D200" s="2" t="n"/>
      <c r="E200" s="2" t="n"/>
      <c r="F200" s="2" t="n"/>
      <c r="G200" s="3" t="n"/>
      <c r="H200" s="2" t="n"/>
      <c r="I200" s="3" t="n"/>
      <c r="J200" s="2" t="n"/>
      <c r="K200" s="2" t="n"/>
      <c r="L200" s="2" t="n"/>
      <c r="M200" s="2" t="n"/>
      <c r="N200" s="2" t="n"/>
      <c r="O200" s="2" t="n"/>
      <c r="P200" s="2" t="n"/>
      <c r="Q200" s="4">
        <f>IF(OR(A200="",E200=""),"",IF(MAXIFS($E$2:$E$1001,$A$2:$A$1001,A200,$E$2:$E$1001,"&lt;"&amp;E200)=0,"",SUMIFS($G$2:$G$1001,$A$2:$A$1001,A200,$E$2:$E$1001,MAXIFS($E$2:$E$1001,$A$2:$A$1001,A200,$E$2:$E$1001,"&lt;"&amp;E200))))</f>
        <v/>
      </c>
      <c r="R200" s="9">
        <f>IF(OR(Q200="",G200=""),"",G200-Q200)</f>
        <v/>
      </c>
      <c r="S200" s="9">
        <f>IF(R200="","",SUMIFS($R$2:$R$1001,$A$2:$A$1001,A200,$E$2:$E$1001,"&lt;="&amp;E200))</f>
        <v/>
      </c>
      <c r="T200" s="5">
        <f>IF(A200="","",IF(R200="","initial",IF(ABS(R200)&lt;=ShiftThresholdDays,"unchanged",IF(R200&gt;0,"delayed","accelerated"))))</f>
        <v/>
      </c>
    </row>
    <row r="201">
      <c r="A201" s="2" t="n"/>
      <c r="B201" s="2" t="n"/>
      <c r="C201" s="2" t="n"/>
      <c r="D201" s="2" t="n"/>
      <c r="E201" s="2" t="n"/>
      <c r="F201" s="2" t="n"/>
      <c r="G201" s="3" t="n"/>
      <c r="H201" s="2" t="n"/>
      <c r="I201" s="3" t="n"/>
      <c r="J201" s="2" t="n"/>
      <c r="K201" s="2" t="n"/>
      <c r="L201" s="2" t="n"/>
      <c r="M201" s="2" t="n"/>
      <c r="N201" s="2" t="n"/>
      <c r="O201" s="2" t="n"/>
      <c r="P201" s="2" t="n"/>
      <c r="Q201" s="4">
        <f>IF(OR(A201="",E201=""),"",IF(MAXIFS($E$2:$E$1001,$A$2:$A$1001,A201,$E$2:$E$1001,"&lt;"&amp;E201)=0,"",SUMIFS($G$2:$G$1001,$A$2:$A$1001,A201,$E$2:$E$1001,MAXIFS($E$2:$E$1001,$A$2:$A$1001,A201,$E$2:$E$1001,"&lt;"&amp;E201))))</f>
        <v/>
      </c>
      <c r="R201" s="9">
        <f>IF(OR(Q201="",G201=""),"",G201-Q201)</f>
        <v/>
      </c>
      <c r="S201" s="9">
        <f>IF(R201="","",SUMIFS($R$2:$R$1001,$A$2:$A$1001,A201,$E$2:$E$1001,"&lt;="&amp;E201))</f>
        <v/>
      </c>
      <c r="T201" s="5">
        <f>IF(A201="","",IF(R201="","initial",IF(ABS(R201)&lt;=ShiftThresholdDays,"unchanged",IF(R201&gt;0,"delayed","accelerated"))))</f>
        <v/>
      </c>
    </row>
    <row r="202">
      <c r="A202" s="2" t="n"/>
      <c r="B202" s="2" t="n"/>
      <c r="C202" s="2" t="n"/>
      <c r="D202" s="2" t="n"/>
      <c r="E202" s="2" t="n"/>
      <c r="F202" s="2" t="n"/>
      <c r="G202" s="3" t="n"/>
      <c r="H202" s="2" t="n"/>
      <c r="I202" s="3" t="n"/>
      <c r="J202" s="2" t="n"/>
      <c r="K202" s="2" t="n"/>
      <c r="L202" s="2" t="n"/>
      <c r="M202" s="2" t="n"/>
      <c r="N202" s="2" t="n"/>
      <c r="O202" s="2" t="n"/>
      <c r="P202" s="2" t="n"/>
      <c r="Q202" s="4">
        <f>IF(OR(A202="",E202=""),"",IF(MAXIFS($E$2:$E$1001,$A$2:$A$1001,A202,$E$2:$E$1001,"&lt;"&amp;E202)=0,"",SUMIFS($G$2:$G$1001,$A$2:$A$1001,A202,$E$2:$E$1001,MAXIFS($E$2:$E$1001,$A$2:$A$1001,A202,$E$2:$E$1001,"&lt;"&amp;E202))))</f>
        <v/>
      </c>
      <c r="R202" s="9">
        <f>IF(OR(Q202="",G202=""),"",G202-Q202)</f>
        <v/>
      </c>
      <c r="S202" s="9">
        <f>IF(R202="","",SUMIFS($R$2:$R$1001,$A$2:$A$1001,A202,$E$2:$E$1001,"&lt;="&amp;E202))</f>
        <v/>
      </c>
      <c r="T202" s="5">
        <f>IF(A202="","",IF(R202="","initial",IF(ABS(R202)&lt;=ShiftThresholdDays,"unchanged",IF(R202&gt;0,"delayed","accelerated"))))</f>
        <v/>
      </c>
    </row>
    <row r="203">
      <c r="A203" s="2" t="n"/>
      <c r="B203" s="2" t="n"/>
      <c r="C203" s="2" t="n"/>
      <c r="D203" s="2" t="n"/>
      <c r="E203" s="2" t="n"/>
      <c r="F203" s="2" t="n"/>
      <c r="G203" s="3" t="n"/>
      <c r="H203" s="2" t="n"/>
      <c r="I203" s="3" t="n"/>
      <c r="J203" s="2" t="n"/>
      <c r="K203" s="2" t="n"/>
      <c r="L203" s="2" t="n"/>
      <c r="M203" s="2" t="n"/>
      <c r="N203" s="2" t="n"/>
      <c r="O203" s="2" t="n"/>
      <c r="P203" s="2" t="n"/>
      <c r="Q203" s="4">
        <f>IF(OR(A203="",E203=""),"",IF(MAXIFS($E$2:$E$1001,$A$2:$A$1001,A203,$E$2:$E$1001,"&lt;"&amp;E203)=0,"",SUMIFS($G$2:$G$1001,$A$2:$A$1001,A203,$E$2:$E$1001,MAXIFS($E$2:$E$1001,$A$2:$A$1001,A203,$E$2:$E$1001,"&lt;"&amp;E203))))</f>
        <v/>
      </c>
      <c r="R203" s="9">
        <f>IF(OR(Q203="",G203=""),"",G203-Q203)</f>
        <v/>
      </c>
      <c r="S203" s="9">
        <f>IF(R203="","",SUMIFS($R$2:$R$1001,$A$2:$A$1001,A203,$E$2:$E$1001,"&lt;="&amp;E203))</f>
        <v/>
      </c>
      <c r="T203" s="5">
        <f>IF(A203="","",IF(R203="","initial",IF(ABS(R203)&lt;=ShiftThresholdDays,"unchanged",IF(R203&gt;0,"delayed","accelerated"))))</f>
        <v/>
      </c>
    </row>
    <row r="204">
      <c r="A204" s="2" t="n"/>
      <c r="B204" s="2" t="n"/>
      <c r="C204" s="2" t="n"/>
      <c r="D204" s="2" t="n"/>
      <c r="E204" s="2" t="n"/>
      <c r="F204" s="2" t="n"/>
      <c r="G204" s="3" t="n"/>
      <c r="H204" s="2" t="n"/>
      <c r="I204" s="3" t="n"/>
      <c r="J204" s="2" t="n"/>
      <c r="K204" s="2" t="n"/>
      <c r="L204" s="2" t="n"/>
      <c r="M204" s="2" t="n"/>
      <c r="N204" s="2" t="n"/>
      <c r="O204" s="2" t="n"/>
      <c r="P204" s="2" t="n"/>
      <c r="Q204" s="4">
        <f>IF(OR(A204="",E204=""),"",IF(MAXIFS($E$2:$E$1001,$A$2:$A$1001,A204,$E$2:$E$1001,"&lt;"&amp;E204)=0,"",SUMIFS($G$2:$G$1001,$A$2:$A$1001,A204,$E$2:$E$1001,MAXIFS($E$2:$E$1001,$A$2:$A$1001,A204,$E$2:$E$1001,"&lt;"&amp;E204))))</f>
        <v/>
      </c>
      <c r="R204" s="9">
        <f>IF(OR(Q204="",G204=""),"",G204-Q204)</f>
        <v/>
      </c>
      <c r="S204" s="9">
        <f>IF(R204="","",SUMIFS($R$2:$R$1001,$A$2:$A$1001,A204,$E$2:$E$1001,"&lt;="&amp;E204))</f>
        <v/>
      </c>
      <c r="T204" s="5">
        <f>IF(A204="","",IF(R204="","initial",IF(ABS(R204)&lt;=ShiftThresholdDays,"unchanged",IF(R204&gt;0,"delayed","accelerated"))))</f>
        <v/>
      </c>
    </row>
    <row r="205">
      <c r="A205" s="2" t="n"/>
      <c r="B205" s="2" t="n"/>
      <c r="C205" s="2" t="n"/>
      <c r="D205" s="2" t="n"/>
      <c r="E205" s="2" t="n"/>
      <c r="F205" s="2" t="n"/>
      <c r="G205" s="3" t="n"/>
      <c r="H205" s="2" t="n"/>
      <c r="I205" s="3" t="n"/>
      <c r="J205" s="2" t="n"/>
      <c r="K205" s="2" t="n"/>
      <c r="L205" s="2" t="n"/>
      <c r="M205" s="2" t="n"/>
      <c r="N205" s="2" t="n"/>
      <c r="O205" s="2" t="n"/>
      <c r="P205" s="2" t="n"/>
      <c r="Q205" s="4">
        <f>IF(OR(A205="",E205=""),"",IF(MAXIFS($E$2:$E$1001,$A$2:$A$1001,A205,$E$2:$E$1001,"&lt;"&amp;E205)=0,"",SUMIFS($G$2:$G$1001,$A$2:$A$1001,A205,$E$2:$E$1001,MAXIFS($E$2:$E$1001,$A$2:$A$1001,A205,$E$2:$E$1001,"&lt;"&amp;E205))))</f>
        <v/>
      </c>
      <c r="R205" s="9">
        <f>IF(OR(Q205="",G205=""),"",G205-Q205)</f>
        <v/>
      </c>
      <c r="S205" s="9">
        <f>IF(R205="","",SUMIFS($R$2:$R$1001,$A$2:$A$1001,A205,$E$2:$E$1001,"&lt;="&amp;E205))</f>
        <v/>
      </c>
      <c r="T205" s="5">
        <f>IF(A205="","",IF(R205="","initial",IF(ABS(R205)&lt;=ShiftThresholdDays,"unchanged",IF(R205&gt;0,"delayed","accelerated"))))</f>
        <v/>
      </c>
    </row>
    <row r="206">
      <c r="A206" s="2" t="n"/>
      <c r="B206" s="2" t="n"/>
      <c r="C206" s="2" t="n"/>
      <c r="D206" s="2" t="n"/>
      <c r="E206" s="2" t="n"/>
      <c r="F206" s="2" t="n"/>
      <c r="G206" s="3" t="n"/>
      <c r="H206" s="2" t="n"/>
      <c r="I206" s="3" t="n"/>
      <c r="J206" s="2" t="n"/>
      <c r="K206" s="2" t="n"/>
      <c r="L206" s="2" t="n"/>
      <c r="M206" s="2" t="n"/>
      <c r="N206" s="2" t="n"/>
      <c r="O206" s="2" t="n"/>
      <c r="P206" s="2" t="n"/>
      <c r="Q206" s="4">
        <f>IF(OR(A206="",E206=""),"",IF(MAXIFS($E$2:$E$1001,$A$2:$A$1001,A206,$E$2:$E$1001,"&lt;"&amp;E206)=0,"",SUMIFS($G$2:$G$1001,$A$2:$A$1001,A206,$E$2:$E$1001,MAXIFS($E$2:$E$1001,$A$2:$A$1001,A206,$E$2:$E$1001,"&lt;"&amp;E206))))</f>
        <v/>
      </c>
      <c r="R206" s="9">
        <f>IF(OR(Q206="",G206=""),"",G206-Q206)</f>
        <v/>
      </c>
      <c r="S206" s="9">
        <f>IF(R206="","",SUMIFS($R$2:$R$1001,$A$2:$A$1001,A206,$E$2:$E$1001,"&lt;="&amp;E206))</f>
        <v/>
      </c>
      <c r="T206" s="5">
        <f>IF(A206="","",IF(R206="","initial",IF(ABS(R206)&lt;=ShiftThresholdDays,"unchanged",IF(R206&gt;0,"delayed","accelerated"))))</f>
        <v/>
      </c>
    </row>
    <row r="207">
      <c r="A207" s="2" t="n"/>
      <c r="B207" s="2" t="n"/>
      <c r="C207" s="2" t="n"/>
      <c r="D207" s="2" t="n"/>
      <c r="E207" s="2" t="n"/>
      <c r="F207" s="2" t="n"/>
      <c r="G207" s="3" t="n"/>
      <c r="H207" s="2" t="n"/>
      <c r="I207" s="3" t="n"/>
      <c r="J207" s="2" t="n"/>
      <c r="K207" s="2" t="n"/>
      <c r="L207" s="2" t="n"/>
      <c r="M207" s="2" t="n"/>
      <c r="N207" s="2" t="n"/>
      <c r="O207" s="2" t="n"/>
      <c r="P207" s="2" t="n"/>
      <c r="Q207" s="4">
        <f>IF(OR(A207="",E207=""),"",IF(MAXIFS($E$2:$E$1001,$A$2:$A$1001,A207,$E$2:$E$1001,"&lt;"&amp;E207)=0,"",SUMIFS($G$2:$G$1001,$A$2:$A$1001,A207,$E$2:$E$1001,MAXIFS($E$2:$E$1001,$A$2:$A$1001,A207,$E$2:$E$1001,"&lt;"&amp;E207))))</f>
        <v/>
      </c>
      <c r="R207" s="9">
        <f>IF(OR(Q207="",G207=""),"",G207-Q207)</f>
        <v/>
      </c>
      <c r="S207" s="9">
        <f>IF(R207="","",SUMIFS($R$2:$R$1001,$A$2:$A$1001,A207,$E$2:$E$1001,"&lt;="&amp;E207))</f>
        <v/>
      </c>
      <c r="T207" s="5">
        <f>IF(A207="","",IF(R207="","initial",IF(ABS(R207)&lt;=ShiftThresholdDays,"unchanged",IF(R207&gt;0,"delayed","accelerated"))))</f>
        <v/>
      </c>
    </row>
    <row r="208">
      <c r="A208" s="2" t="n"/>
      <c r="B208" s="2" t="n"/>
      <c r="C208" s="2" t="n"/>
      <c r="D208" s="2" t="n"/>
      <c r="E208" s="2" t="n"/>
      <c r="F208" s="2" t="n"/>
      <c r="G208" s="3" t="n"/>
      <c r="H208" s="2" t="n"/>
      <c r="I208" s="3" t="n"/>
      <c r="J208" s="2" t="n"/>
      <c r="K208" s="2" t="n"/>
      <c r="L208" s="2" t="n"/>
      <c r="M208" s="2" t="n"/>
      <c r="N208" s="2" t="n"/>
      <c r="O208" s="2" t="n"/>
      <c r="P208" s="2" t="n"/>
      <c r="Q208" s="4">
        <f>IF(OR(A208="",E208=""),"",IF(MAXIFS($E$2:$E$1001,$A$2:$A$1001,A208,$E$2:$E$1001,"&lt;"&amp;E208)=0,"",SUMIFS($G$2:$G$1001,$A$2:$A$1001,A208,$E$2:$E$1001,MAXIFS($E$2:$E$1001,$A$2:$A$1001,A208,$E$2:$E$1001,"&lt;"&amp;E208))))</f>
        <v/>
      </c>
      <c r="R208" s="9">
        <f>IF(OR(Q208="",G208=""),"",G208-Q208)</f>
        <v/>
      </c>
      <c r="S208" s="9">
        <f>IF(R208="","",SUMIFS($R$2:$R$1001,$A$2:$A$1001,A208,$E$2:$E$1001,"&lt;="&amp;E208))</f>
        <v/>
      </c>
      <c r="T208" s="5">
        <f>IF(A208="","",IF(R208="","initial",IF(ABS(R208)&lt;=ShiftThresholdDays,"unchanged",IF(R208&gt;0,"delayed","accelerated"))))</f>
        <v/>
      </c>
    </row>
    <row r="209">
      <c r="A209" s="2" t="n"/>
      <c r="B209" s="2" t="n"/>
      <c r="C209" s="2" t="n"/>
      <c r="D209" s="2" t="n"/>
      <c r="E209" s="2" t="n"/>
      <c r="F209" s="2" t="n"/>
      <c r="G209" s="3" t="n"/>
      <c r="H209" s="2" t="n"/>
      <c r="I209" s="3" t="n"/>
      <c r="J209" s="2" t="n"/>
      <c r="K209" s="2" t="n"/>
      <c r="L209" s="2" t="n"/>
      <c r="M209" s="2" t="n"/>
      <c r="N209" s="2" t="n"/>
      <c r="O209" s="2" t="n"/>
      <c r="P209" s="2" t="n"/>
      <c r="Q209" s="4">
        <f>IF(OR(A209="",E209=""),"",IF(MAXIFS($E$2:$E$1001,$A$2:$A$1001,A209,$E$2:$E$1001,"&lt;"&amp;E209)=0,"",SUMIFS($G$2:$G$1001,$A$2:$A$1001,A209,$E$2:$E$1001,MAXIFS($E$2:$E$1001,$A$2:$A$1001,A209,$E$2:$E$1001,"&lt;"&amp;E209))))</f>
        <v/>
      </c>
      <c r="R209" s="9">
        <f>IF(OR(Q209="",G209=""),"",G209-Q209)</f>
        <v/>
      </c>
      <c r="S209" s="9">
        <f>IF(R209="","",SUMIFS($R$2:$R$1001,$A$2:$A$1001,A209,$E$2:$E$1001,"&lt;="&amp;E209))</f>
        <v/>
      </c>
      <c r="T209" s="5">
        <f>IF(A209="","",IF(R209="","initial",IF(ABS(R209)&lt;=ShiftThresholdDays,"unchanged",IF(R209&gt;0,"delayed","accelerated"))))</f>
        <v/>
      </c>
    </row>
    <row r="210">
      <c r="A210" s="2" t="n"/>
      <c r="B210" s="2" t="n"/>
      <c r="C210" s="2" t="n"/>
      <c r="D210" s="2" t="n"/>
      <c r="E210" s="2" t="n"/>
      <c r="F210" s="2" t="n"/>
      <c r="G210" s="3" t="n"/>
      <c r="H210" s="2" t="n"/>
      <c r="I210" s="3" t="n"/>
      <c r="J210" s="2" t="n"/>
      <c r="K210" s="2" t="n"/>
      <c r="L210" s="2" t="n"/>
      <c r="M210" s="2" t="n"/>
      <c r="N210" s="2" t="n"/>
      <c r="O210" s="2" t="n"/>
      <c r="P210" s="2" t="n"/>
      <c r="Q210" s="4">
        <f>IF(OR(A210="",E210=""),"",IF(MAXIFS($E$2:$E$1001,$A$2:$A$1001,A210,$E$2:$E$1001,"&lt;"&amp;E210)=0,"",SUMIFS($G$2:$G$1001,$A$2:$A$1001,A210,$E$2:$E$1001,MAXIFS($E$2:$E$1001,$A$2:$A$1001,A210,$E$2:$E$1001,"&lt;"&amp;E210))))</f>
        <v/>
      </c>
      <c r="R210" s="9">
        <f>IF(OR(Q210="",G210=""),"",G210-Q210)</f>
        <v/>
      </c>
      <c r="S210" s="9">
        <f>IF(R210="","",SUMIFS($R$2:$R$1001,$A$2:$A$1001,A210,$E$2:$E$1001,"&lt;="&amp;E210))</f>
        <v/>
      </c>
      <c r="T210" s="5">
        <f>IF(A210="","",IF(R210="","initial",IF(ABS(R210)&lt;=ShiftThresholdDays,"unchanged",IF(R210&gt;0,"delayed","accelerated"))))</f>
        <v/>
      </c>
    </row>
    <row r="211">
      <c r="A211" s="2" t="n"/>
      <c r="B211" s="2" t="n"/>
      <c r="C211" s="2" t="n"/>
      <c r="D211" s="2" t="n"/>
      <c r="E211" s="2" t="n"/>
      <c r="F211" s="2" t="n"/>
      <c r="G211" s="3" t="n"/>
      <c r="H211" s="2" t="n"/>
      <c r="I211" s="3" t="n"/>
      <c r="J211" s="2" t="n"/>
      <c r="K211" s="2" t="n"/>
      <c r="L211" s="2" t="n"/>
      <c r="M211" s="2" t="n"/>
      <c r="N211" s="2" t="n"/>
      <c r="O211" s="2" t="n"/>
      <c r="P211" s="2" t="n"/>
      <c r="Q211" s="4">
        <f>IF(OR(A211="",E211=""),"",IF(MAXIFS($E$2:$E$1001,$A$2:$A$1001,A211,$E$2:$E$1001,"&lt;"&amp;E211)=0,"",SUMIFS($G$2:$G$1001,$A$2:$A$1001,A211,$E$2:$E$1001,MAXIFS($E$2:$E$1001,$A$2:$A$1001,A211,$E$2:$E$1001,"&lt;"&amp;E211))))</f>
        <v/>
      </c>
      <c r="R211" s="9">
        <f>IF(OR(Q211="",G211=""),"",G211-Q211)</f>
        <v/>
      </c>
      <c r="S211" s="9">
        <f>IF(R211="","",SUMIFS($R$2:$R$1001,$A$2:$A$1001,A211,$E$2:$E$1001,"&lt;="&amp;E211))</f>
        <v/>
      </c>
      <c r="T211" s="5">
        <f>IF(A211="","",IF(R211="","initial",IF(ABS(R211)&lt;=ShiftThresholdDays,"unchanged",IF(R211&gt;0,"delayed","accelerated"))))</f>
        <v/>
      </c>
    </row>
    <row r="212">
      <c r="A212" s="2" t="n"/>
      <c r="B212" s="2" t="n"/>
      <c r="C212" s="2" t="n"/>
      <c r="D212" s="2" t="n"/>
      <c r="E212" s="2" t="n"/>
      <c r="F212" s="2" t="n"/>
      <c r="G212" s="3" t="n"/>
      <c r="H212" s="2" t="n"/>
      <c r="I212" s="3" t="n"/>
      <c r="J212" s="2" t="n"/>
      <c r="K212" s="2" t="n"/>
      <c r="L212" s="2" t="n"/>
      <c r="M212" s="2" t="n"/>
      <c r="N212" s="2" t="n"/>
      <c r="O212" s="2" t="n"/>
      <c r="P212" s="2" t="n"/>
      <c r="Q212" s="4">
        <f>IF(OR(A212="",E212=""),"",IF(MAXIFS($E$2:$E$1001,$A$2:$A$1001,A212,$E$2:$E$1001,"&lt;"&amp;E212)=0,"",SUMIFS($G$2:$G$1001,$A$2:$A$1001,A212,$E$2:$E$1001,MAXIFS($E$2:$E$1001,$A$2:$A$1001,A212,$E$2:$E$1001,"&lt;"&amp;E212))))</f>
        <v/>
      </c>
      <c r="R212" s="9">
        <f>IF(OR(Q212="",G212=""),"",G212-Q212)</f>
        <v/>
      </c>
      <c r="S212" s="9">
        <f>IF(R212="","",SUMIFS($R$2:$R$1001,$A$2:$A$1001,A212,$E$2:$E$1001,"&lt;="&amp;E212))</f>
        <v/>
      </c>
      <c r="T212" s="5">
        <f>IF(A212="","",IF(R212="","initial",IF(ABS(R212)&lt;=ShiftThresholdDays,"unchanged",IF(R212&gt;0,"delayed","accelerated"))))</f>
        <v/>
      </c>
    </row>
    <row r="213">
      <c r="A213" s="2" t="n"/>
      <c r="B213" s="2" t="n"/>
      <c r="C213" s="2" t="n"/>
      <c r="D213" s="2" t="n"/>
      <c r="E213" s="2" t="n"/>
      <c r="F213" s="2" t="n"/>
      <c r="G213" s="3" t="n"/>
      <c r="H213" s="2" t="n"/>
      <c r="I213" s="3" t="n"/>
      <c r="J213" s="2" t="n"/>
      <c r="K213" s="2" t="n"/>
      <c r="L213" s="2" t="n"/>
      <c r="M213" s="2" t="n"/>
      <c r="N213" s="2" t="n"/>
      <c r="O213" s="2" t="n"/>
      <c r="P213" s="2" t="n"/>
      <c r="Q213" s="4">
        <f>IF(OR(A213="",E213=""),"",IF(MAXIFS($E$2:$E$1001,$A$2:$A$1001,A213,$E$2:$E$1001,"&lt;"&amp;E213)=0,"",SUMIFS($G$2:$G$1001,$A$2:$A$1001,A213,$E$2:$E$1001,MAXIFS($E$2:$E$1001,$A$2:$A$1001,A213,$E$2:$E$1001,"&lt;"&amp;E213))))</f>
        <v/>
      </c>
      <c r="R213" s="9">
        <f>IF(OR(Q213="",G213=""),"",G213-Q213)</f>
        <v/>
      </c>
      <c r="S213" s="9">
        <f>IF(R213="","",SUMIFS($R$2:$R$1001,$A$2:$A$1001,A213,$E$2:$E$1001,"&lt;="&amp;E213))</f>
        <v/>
      </c>
      <c r="T213" s="5">
        <f>IF(A213="","",IF(R213="","initial",IF(ABS(R213)&lt;=ShiftThresholdDays,"unchanged",IF(R213&gt;0,"delayed","accelerated"))))</f>
        <v/>
      </c>
    </row>
    <row r="214">
      <c r="A214" s="2" t="n"/>
      <c r="B214" s="2" t="n"/>
      <c r="C214" s="2" t="n"/>
      <c r="D214" s="2" t="n"/>
      <c r="E214" s="2" t="n"/>
      <c r="F214" s="2" t="n"/>
      <c r="G214" s="3" t="n"/>
      <c r="H214" s="2" t="n"/>
      <c r="I214" s="3" t="n"/>
      <c r="J214" s="2" t="n"/>
      <c r="K214" s="2" t="n"/>
      <c r="L214" s="2" t="n"/>
      <c r="M214" s="2" t="n"/>
      <c r="N214" s="2" t="n"/>
      <c r="O214" s="2" t="n"/>
      <c r="P214" s="2" t="n"/>
      <c r="Q214" s="4">
        <f>IF(OR(A214="",E214=""),"",IF(MAXIFS($E$2:$E$1001,$A$2:$A$1001,A214,$E$2:$E$1001,"&lt;"&amp;E214)=0,"",SUMIFS($G$2:$G$1001,$A$2:$A$1001,A214,$E$2:$E$1001,MAXIFS($E$2:$E$1001,$A$2:$A$1001,A214,$E$2:$E$1001,"&lt;"&amp;E214))))</f>
        <v/>
      </c>
      <c r="R214" s="9">
        <f>IF(OR(Q214="",G214=""),"",G214-Q214)</f>
        <v/>
      </c>
      <c r="S214" s="9">
        <f>IF(R214="","",SUMIFS($R$2:$R$1001,$A$2:$A$1001,A214,$E$2:$E$1001,"&lt;="&amp;E214))</f>
        <v/>
      </c>
      <c r="T214" s="5">
        <f>IF(A214="","",IF(R214="","initial",IF(ABS(R214)&lt;=ShiftThresholdDays,"unchanged",IF(R214&gt;0,"delayed","accelerated"))))</f>
        <v/>
      </c>
    </row>
    <row r="215">
      <c r="A215" s="2" t="n"/>
      <c r="B215" s="2" t="n"/>
      <c r="C215" s="2" t="n"/>
      <c r="D215" s="2" t="n"/>
      <c r="E215" s="2" t="n"/>
      <c r="F215" s="2" t="n"/>
      <c r="G215" s="3" t="n"/>
      <c r="H215" s="2" t="n"/>
      <c r="I215" s="3" t="n"/>
      <c r="J215" s="2" t="n"/>
      <c r="K215" s="2" t="n"/>
      <c r="L215" s="2" t="n"/>
      <c r="M215" s="2" t="n"/>
      <c r="N215" s="2" t="n"/>
      <c r="O215" s="2" t="n"/>
      <c r="P215" s="2" t="n"/>
      <c r="Q215" s="4">
        <f>IF(OR(A215="",E215=""),"",IF(MAXIFS($E$2:$E$1001,$A$2:$A$1001,A215,$E$2:$E$1001,"&lt;"&amp;E215)=0,"",SUMIFS($G$2:$G$1001,$A$2:$A$1001,A215,$E$2:$E$1001,MAXIFS($E$2:$E$1001,$A$2:$A$1001,A215,$E$2:$E$1001,"&lt;"&amp;E215))))</f>
        <v/>
      </c>
      <c r="R215" s="9">
        <f>IF(OR(Q215="",G215=""),"",G215-Q215)</f>
        <v/>
      </c>
      <c r="S215" s="9">
        <f>IF(R215="","",SUMIFS($R$2:$R$1001,$A$2:$A$1001,A215,$E$2:$E$1001,"&lt;="&amp;E215))</f>
        <v/>
      </c>
      <c r="T215" s="5">
        <f>IF(A215="","",IF(R215="","initial",IF(ABS(R215)&lt;=ShiftThresholdDays,"unchanged",IF(R215&gt;0,"delayed","accelerated"))))</f>
        <v/>
      </c>
    </row>
    <row r="216">
      <c r="A216" s="2" t="n"/>
      <c r="B216" s="2" t="n"/>
      <c r="C216" s="2" t="n"/>
      <c r="D216" s="2" t="n"/>
      <c r="E216" s="2" t="n"/>
      <c r="F216" s="2" t="n"/>
      <c r="G216" s="3" t="n"/>
      <c r="H216" s="2" t="n"/>
      <c r="I216" s="3" t="n"/>
      <c r="J216" s="2" t="n"/>
      <c r="K216" s="2" t="n"/>
      <c r="L216" s="2" t="n"/>
      <c r="M216" s="2" t="n"/>
      <c r="N216" s="2" t="n"/>
      <c r="O216" s="2" t="n"/>
      <c r="P216" s="2" t="n"/>
      <c r="Q216" s="4">
        <f>IF(OR(A216="",E216=""),"",IF(MAXIFS($E$2:$E$1001,$A$2:$A$1001,A216,$E$2:$E$1001,"&lt;"&amp;E216)=0,"",SUMIFS($G$2:$G$1001,$A$2:$A$1001,A216,$E$2:$E$1001,MAXIFS($E$2:$E$1001,$A$2:$A$1001,A216,$E$2:$E$1001,"&lt;"&amp;E216))))</f>
        <v/>
      </c>
      <c r="R216" s="9">
        <f>IF(OR(Q216="",G216=""),"",G216-Q216)</f>
        <v/>
      </c>
      <c r="S216" s="9">
        <f>IF(R216="","",SUMIFS($R$2:$R$1001,$A$2:$A$1001,A216,$E$2:$E$1001,"&lt;="&amp;E216))</f>
        <v/>
      </c>
      <c r="T216" s="5">
        <f>IF(A216="","",IF(R216="","initial",IF(ABS(R216)&lt;=ShiftThresholdDays,"unchanged",IF(R216&gt;0,"delayed","accelerated"))))</f>
        <v/>
      </c>
    </row>
    <row r="217">
      <c r="A217" s="2" t="n"/>
      <c r="B217" s="2" t="n"/>
      <c r="C217" s="2" t="n"/>
      <c r="D217" s="2" t="n"/>
      <c r="E217" s="2" t="n"/>
      <c r="F217" s="2" t="n"/>
      <c r="G217" s="3" t="n"/>
      <c r="H217" s="2" t="n"/>
      <c r="I217" s="3" t="n"/>
      <c r="J217" s="2" t="n"/>
      <c r="K217" s="2" t="n"/>
      <c r="L217" s="2" t="n"/>
      <c r="M217" s="2" t="n"/>
      <c r="N217" s="2" t="n"/>
      <c r="O217" s="2" t="n"/>
      <c r="P217" s="2" t="n"/>
      <c r="Q217" s="4">
        <f>IF(OR(A217="",E217=""),"",IF(MAXIFS($E$2:$E$1001,$A$2:$A$1001,A217,$E$2:$E$1001,"&lt;"&amp;E217)=0,"",SUMIFS($G$2:$G$1001,$A$2:$A$1001,A217,$E$2:$E$1001,MAXIFS($E$2:$E$1001,$A$2:$A$1001,A217,$E$2:$E$1001,"&lt;"&amp;E217))))</f>
        <v/>
      </c>
      <c r="R217" s="9">
        <f>IF(OR(Q217="",G217=""),"",G217-Q217)</f>
        <v/>
      </c>
      <c r="S217" s="9">
        <f>IF(R217="","",SUMIFS($R$2:$R$1001,$A$2:$A$1001,A217,$E$2:$E$1001,"&lt;="&amp;E217))</f>
        <v/>
      </c>
      <c r="T217" s="5">
        <f>IF(A217="","",IF(R217="","initial",IF(ABS(R217)&lt;=ShiftThresholdDays,"unchanged",IF(R217&gt;0,"delayed","accelerated"))))</f>
        <v/>
      </c>
    </row>
    <row r="218">
      <c r="A218" s="2" t="n"/>
      <c r="B218" s="2" t="n"/>
      <c r="C218" s="2" t="n"/>
      <c r="D218" s="2" t="n"/>
      <c r="E218" s="2" t="n"/>
      <c r="F218" s="2" t="n"/>
      <c r="G218" s="3" t="n"/>
      <c r="H218" s="2" t="n"/>
      <c r="I218" s="3" t="n"/>
      <c r="J218" s="2" t="n"/>
      <c r="K218" s="2" t="n"/>
      <c r="L218" s="2" t="n"/>
      <c r="M218" s="2" t="n"/>
      <c r="N218" s="2" t="n"/>
      <c r="O218" s="2" t="n"/>
      <c r="P218" s="2" t="n"/>
      <c r="Q218" s="4">
        <f>IF(OR(A218="",E218=""),"",IF(MAXIFS($E$2:$E$1001,$A$2:$A$1001,A218,$E$2:$E$1001,"&lt;"&amp;E218)=0,"",SUMIFS($G$2:$G$1001,$A$2:$A$1001,A218,$E$2:$E$1001,MAXIFS($E$2:$E$1001,$A$2:$A$1001,A218,$E$2:$E$1001,"&lt;"&amp;E218))))</f>
        <v/>
      </c>
      <c r="R218" s="9">
        <f>IF(OR(Q218="",G218=""),"",G218-Q218)</f>
        <v/>
      </c>
      <c r="S218" s="9">
        <f>IF(R218="","",SUMIFS($R$2:$R$1001,$A$2:$A$1001,A218,$E$2:$E$1001,"&lt;="&amp;E218))</f>
        <v/>
      </c>
      <c r="T218" s="5">
        <f>IF(A218="","",IF(R218="","initial",IF(ABS(R218)&lt;=ShiftThresholdDays,"unchanged",IF(R218&gt;0,"delayed","accelerated"))))</f>
        <v/>
      </c>
    </row>
    <row r="219">
      <c r="A219" s="2" t="n"/>
      <c r="B219" s="2" t="n"/>
      <c r="C219" s="2" t="n"/>
      <c r="D219" s="2" t="n"/>
      <c r="E219" s="2" t="n"/>
      <c r="F219" s="2" t="n"/>
      <c r="G219" s="3" t="n"/>
      <c r="H219" s="2" t="n"/>
      <c r="I219" s="3" t="n"/>
      <c r="J219" s="2" t="n"/>
      <c r="K219" s="2" t="n"/>
      <c r="L219" s="2" t="n"/>
      <c r="M219" s="2" t="n"/>
      <c r="N219" s="2" t="n"/>
      <c r="O219" s="2" t="n"/>
      <c r="P219" s="2" t="n"/>
      <c r="Q219" s="4">
        <f>IF(OR(A219="",E219=""),"",IF(MAXIFS($E$2:$E$1001,$A$2:$A$1001,A219,$E$2:$E$1001,"&lt;"&amp;E219)=0,"",SUMIFS($G$2:$G$1001,$A$2:$A$1001,A219,$E$2:$E$1001,MAXIFS($E$2:$E$1001,$A$2:$A$1001,A219,$E$2:$E$1001,"&lt;"&amp;E219))))</f>
        <v/>
      </c>
      <c r="R219" s="9">
        <f>IF(OR(Q219="",G219=""),"",G219-Q219)</f>
        <v/>
      </c>
      <c r="S219" s="9">
        <f>IF(R219="","",SUMIFS($R$2:$R$1001,$A$2:$A$1001,A219,$E$2:$E$1001,"&lt;="&amp;E219))</f>
        <v/>
      </c>
      <c r="T219" s="5">
        <f>IF(A219="","",IF(R219="","initial",IF(ABS(R219)&lt;=ShiftThresholdDays,"unchanged",IF(R219&gt;0,"delayed","accelerated"))))</f>
        <v/>
      </c>
    </row>
    <row r="220">
      <c r="A220" s="2" t="n"/>
      <c r="B220" s="2" t="n"/>
      <c r="C220" s="2" t="n"/>
      <c r="D220" s="2" t="n"/>
      <c r="E220" s="2" t="n"/>
      <c r="F220" s="2" t="n"/>
      <c r="G220" s="3" t="n"/>
      <c r="H220" s="2" t="n"/>
      <c r="I220" s="3" t="n"/>
      <c r="J220" s="2" t="n"/>
      <c r="K220" s="2" t="n"/>
      <c r="L220" s="2" t="n"/>
      <c r="M220" s="2" t="n"/>
      <c r="N220" s="2" t="n"/>
      <c r="O220" s="2" t="n"/>
      <c r="P220" s="2" t="n"/>
      <c r="Q220" s="4">
        <f>IF(OR(A220="",E220=""),"",IF(MAXIFS($E$2:$E$1001,$A$2:$A$1001,A220,$E$2:$E$1001,"&lt;"&amp;E220)=0,"",SUMIFS($G$2:$G$1001,$A$2:$A$1001,A220,$E$2:$E$1001,MAXIFS($E$2:$E$1001,$A$2:$A$1001,A220,$E$2:$E$1001,"&lt;"&amp;E220))))</f>
        <v/>
      </c>
      <c r="R220" s="9">
        <f>IF(OR(Q220="",G220=""),"",G220-Q220)</f>
        <v/>
      </c>
      <c r="S220" s="9">
        <f>IF(R220="","",SUMIFS($R$2:$R$1001,$A$2:$A$1001,A220,$E$2:$E$1001,"&lt;="&amp;E220))</f>
        <v/>
      </c>
      <c r="T220" s="5">
        <f>IF(A220="","",IF(R220="","initial",IF(ABS(R220)&lt;=ShiftThresholdDays,"unchanged",IF(R220&gt;0,"delayed","accelerated"))))</f>
        <v/>
      </c>
    </row>
    <row r="221">
      <c r="A221" s="2" t="n"/>
      <c r="B221" s="2" t="n"/>
      <c r="C221" s="2" t="n"/>
      <c r="D221" s="2" t="n"/>
      <c r="E221" s="2" t="n"/>
      <c r="F221" s="2" t="n"/>
      <c r="G221" s="3" t="n"/>
      <c r="H221" s="2" t="n"/>
      <c r="I221" s="3" t="n"/>
      <c r="J221" s="2" t="n"/>
      <c r="K221" s="2" t="n"/>
      <c r="L221" s="2" t="n"/>
      <c r="M221" s="2" t="n"/>
      <c r="N221" s="2" t="n"/>
      <c r="O221" s="2" t="n"/>
      <c r="P221" s="2" t="n"/>
      <c r="Q221" s="4">
        <f>IF(OR(A221="",E221=""),"",IF(MAXIFS($E$2:$E$1001,$A$2:$A$1001,A221,$E$2:$E$1001,"&lt;"&amp;E221)=0,"",SUMIFS($G$2:$G$1001,$A$2:$A$1001,A221,$E$2:$E$1001,MAXIFS($E$2:$E$1001,$A$2:$A$1001,A221,$E$2:$E$1001,"&lt;"&amp;E221))))</f>
        <v/>
      </c>
      <c r="R221" s="9">
        <f>IF(OR(Q221="",G221=""),"",G221-Q221)</f>
        <v/>
      </c>
      <c r="S221" s="9">
        <f>IF(R221="","",SUMIFS($R$2:$R$1001,$A$2:$A$1001,A221,$E$2:$E$1001,"&lt;="&amp;E221))</f>
        <v/>
      </c>
      <c r="T221" s="5">
        <f>IF(A221="","",IF(R221="","initial",IF(ABS(R221)&lt;=ShiftThresholdDays,"unchanged",IF(R221&gt;0,"delayed","accelerated"))))</f>
        <v/>
      </c>
    </row>
    <row r="222">
      <c r="A222" s="2" t="n"/>
      <c r="B222" s="2" t="n"/>
      <c r="C222" s="2" t="n"/>
      <c r="D222" s="2" t="n"/>
      <c r="E222" s="2" t="n"/>
      <c r="F222" s="2" t="n"/>
      <c r="G222" s="3" t="n"/>
      <c r="H222" s="2" t="n"/>
      <c r="I222" s="3" t="n"/>
      <c r="J222" s="2" t="n"/>
      <c r="K222" s="2" t="n"/>
      <c r="L222" s="2" t="n"/>
      <c r="M222" s="2" t="n"/>
      <c r="N222" s="2" t="n"/>
      <c r="O222" s="2" t="n"/>
      <c r="P222" s="2" t="n"/>
      <c r="Q222" s="4">
        <f>IF(OR(A222="",E222=""),"",IF(MAXIFS($E$2:$E$1001,$A$2:$A$1001,A222,$E$2:$E$1001,"&lt;"&amp;E222)=0,"",SUMIFS($G$2:$G$1001,$A$2:$A$1001,A222,$E$2:$E$1001,MAXIFS($E$2:$E$1001,$A$2:$A$1001,A222,$E$2:$E$1001,"&lt;"&amp;E222))))</f>
        <v/>
      </c>
      <c r="R222" s="9">
        <f>IF(OR(Q222="",G222=""),"",G222-Q222)</f>
        <v/>
      </c>
      <c r="S222" s="9">
        <f>IF(R222="","",SUMIFS($R$2:$R$1001,$A$2:$A$1001,A222,$E$2:$E$1001,"&lt;="&amp;E222))</f>
        <v/>
      </c>
      <c r="T222" s="5">
        <f>IF(A222="","",IF(R222="","initial",IF(ABS(R222)&lt;=ShiftThresholdDays,"unchanged",IF(R222&gt;0,"delayed","accelerated"))))</f>
        <v/>
      </c>
    </row>
    <row r="223">
      <c r="A223" s="2" t="n"/>
      <c r="B223" s="2" t="n"/>
      <c r="C223" s="2" t="n"/>
      <c r="D223" s="2" t="n"/>
      <c r="E223" s="2" t="n"/>
      <c r="F223" s="2" t="n"/>
      <c r="G223" s="3" t="n"/>
      <c r="H223" s="2" t="n"/>
      <c r="I223" s="3" t="n"/>
      <c r="J223" s="2" t="n"/>
      <c r="K223" s="2" t="n"/>
      <c r="L223" s="2" t="n"/>
      <c r="M223" s="2" t="n"/>
      <c r="N223" s="2" t="n"/>
      <c r="O223" s="2" t="n"/>
      <c r="P223" s="2" t="n"/>
      <c r="Q223" s="4">
        <f>IF(OR(A223="",E223=""),"",IF(MAXIFS($E$2:$E$1001,$A$2:$A$1001,A223,$E$2:$E$1001,"&lt;"&amp;E223)=0,"",SUMIFS($G$2:$G$1001,$A$2:$A$1001,A223,$E$2:$E$1001,MAXIFS($E$2:$E$1001,$A$2:$A$1001,A223,$E$2:$E$1001,"&lt;"&amp;E223))))</f>
        <v/>
      </c>
      <c r="R223" s="9">
        <f>IF(OR(Q223="",G223=""),"",G223-Q223)</f>
        <v/>
      </c>
      <c r="S223" s="9">
        <f>IF(R223="","",SUMIFS($R$2:$R$1001,$A$2:$A$1001,A223,$E$2:$E$1001,"&lt;="&amp;E223))</f>
        <v/>
      </c>
      <c r="T223" s="5">
        <f>IF(A223="","",IF(R223="","initial",IF(ABS(R223)&lt;=ShiftThresholdDays,"unchanged",IF(R223&gt;0,"delayed","accelerated"))))</f>
        <v/>
      </c>
    </row>
    <row r="224">
      <c r="A224" s="2" t="n"/>
      <c r="B224" s="2" t="n"/>
      <c r="C224" s="2" t="n"/>
      <c r="D224" s="2" t="n"/>
      <c r="E224" s="2" t="n"/>
      <c r="F224" s="2" t="n"/>
      <c r="G224" s="3" t="n"/>
      <c r="H224" s="2" t="n"/>
      <c r="I224" s="3" t="n"/>
      <c r="J224" s="2" t="n"/>
      <c r="K224" s="2" t="n"/>
      <c r="L224" s="2" t="n"/>
      <c r="M224" s="2" t="n"/>
      <c r="N224" s="2" t="n"/>
      <c r="O224" s="2" t="n"/>
      <c r="P224" s="2" t="n"/>
      <c r="Q224" s="4">
        <f>IF(OR(A224="",E224=""),"",IF(MAXIFS($E$2:$E$1001,$A$2:$A$1001,A224,$E$2:$E$1001,"&lt;"&amp;E224)=0,"",SUMIFS($G$2:$G$1001,$A$2:$A$1001,A224,$E$2:$E$1001,MAXIFS($E$2:$E$1001,$A$2:$A$1001,A224,$E$2:$E$1001,"&lt;"&amp;E224))))</f>
        <v/>
      </c>
      <c r="R224" s="9">
        <f>IF(OR(Q224="",G224=""),"",G224-Q224)</f>
        <v/>
      </c>
      <c r="S224" s="9">
        <f>IF(R224="","",SUMIFS($R$2:$R$1001,$A$2:$A$1001,A224,$E$2:$E$1001,"&lt;="&amp;E224))</f>
        <v/>
      </c>
      <c r="T224" s="5">
        <f>IF(A224="","",IF(R224="","initial",IF(ABS(R224)&lt;=ShiftThresholdDays,"unchanged",IF(R224&gt;0,"delayed","accelerated"))))</f>
        <v/>
      </c>
    </row>
    <row r="225">
      <c r="A225" s="2" t="n"/>
      <c r="B225" s="2" t="n"/>
      <c r="C225" s="2" t="n"/>
      <c r="D225" s="2" t="n"/>
      <c r="E225" s="2" t="n"/>
      <c r="F225" s="2" t="n"/>
      <c r="G225" s="3" t="n"/>
      <c r="H225" s="2" t="n"/>
      <c r="I225" s="3" t="n"/>
      <c r="J225" s="2" t="n"/>
      <c r="K225" s="2" t="n"/>
      <c r="L225" s="2" t="n"/>
      <c r="M225" s="2" t="n"/>
      <c r="N225" s="2" t="n"/>
      <c r="O225" s="2" t="n"/>
      <c r="P225" s="2" t="n"/>
      <c r="Q225" s="4">
        <f>IF(OR(A225="",E225=""),"",IF(MAXIFS($E$2:$E$1001,$A$2:$A$1001,A225,$E$2:$E$1001,"&lt;"&amp;E225)=0,"",SUMIFS($G$2:$G$1001,$A$2:$A$1001,A225,$E$2:$E$1001,MAXIFS($E$2:$E$1001,$A$2:$A$1001,A225,$E$2:$E$1001,"&lt;"&amp;E225))))</f>
        <v/>
      </c>
      <c r="R225" s="9">
        <f>IF(OR(Q225="",G225=""),"",G225-Q225)</f>
        <v/>
      </c>
      <c r="S225" s="9">
        <f>IF(R225="","",SUMIFS($R$2:$R$1001,$A$2:$A$1001,A225,$E$2:$E$1001,"&lt;="&amp;E225))</f>
        <v/>
      </c>
      <c r="T225" s="5">
        <f>IF(A225="","",IF(R225="","initial",IF(ABS(R225)&lt;=ShiftThresholdDays,"unchanged",IF(R225&gt;0,"delayed","accelerated"))))</f>
        <v/>
      </c>
    </row>
    <row r="226">
      <c r="A226" s="2" t="n"/>
      <c r="B226" s="2" t="n"/>
      <c r="C226" s="2" t="n"/>
      <c r="D226" s="2" t="n"/>
      <c r="E226" s="2" t="n"/>
      <c r="F226" s="2" t="n"/>
      <c r="G226" s="3" t="n"/>
      <c r="H226" s="2" t="n"/>
      <c r="I226" s="3" t="n"/>
      <c r="J226" s="2" t="n"/>
      <c r="K226" s="2" t="n"/>
      <c r="L226" s="2" t="n"/>
      <c r="M226" s="2" t="n"/>
      <c r="N226" s="2" t="n"/>
      <c r="O226" s="2" t="n"/>
      <c r="P226" s="2" t="n"/>
      <c r="Q226" s="4">
        <f>IF(OR(A226="",E226=""),"",IF(MAXIFS($E$2:$E$1001,$A$2:$A$1001,A226,$E$2:$E$1001,"&lt;"&amp;E226)=0,"",SUMIFS($G$2:$G$1001,$A$2:$A$1001,A226,$E$2:$E$1001,MAXIFS($E$2:$E$1001,$A$2:$A$1001,A226,$E$2:$E$1001,"&lt;"&amp;E226))))</f>
        <v/>
      </c>
      <c r="R226" s="9">
        <f>IF(OR(Q226="",G226=""),"",G226-Q226)</f>
        <v/>
      </c>
      <c r="S226" s="9">
        <f>IF(R226="","",SUMIFS($R$2:$R$1001,$A$2:$A$1001,A226,$E$2:$E$1001,"&lt;="&amp;E226))</f>
        <v/>
      </c>
      <c r="T226" s="5">
        <f>IF(A226="","",IF(R226="","initial",IF(ABS(R226)&lt;=ShiftThresholdDays,"unchanged",IF(R226&gt;0,"delayed","accelerated"))))</f>
        <v/>
      </c>
    </row>
    <row r="227">
      <c r="A227" s="2" t="n"/>
      <c r="B227" s="2" t="n"/>
      <c r="C227" s="2" t="n"/>
      <c r="D227" s="2" t="n"/>
      <c r="E227" s="2" t="n"/>
      <c r="F227" s="2" t="n"/>
      <c r="G227" s="3" t="n"/>
      <c r="H227" s="2" t="n"/>
      <c r="I227" s="3" t="n"/>
      <c r="J227" s="2" t="n"/>
      <c r="K227" s="2" t="n"/>
      <c r="L227" s="2" t="n"/>
      <c r="M227" s="2" t="n"/>
      <c r="N227" s="2" t="n"/>
      <c r="O227" s="2" t="n"/>
      <c r="P227" s="2" t="n"/>
      <c r="Q227" s="4">
        <f>IF(OR(A227="",E227=""),"",IF(MAXIFS($E$2:$E$1001,$A$2:$A$1001,A227,$E$2:$E$1001,"&lt;"&amp;E227)=0,"",SUMIFS($G$2:$G$1001,$A$2:$A$1001,A227,$E$2:$E$1001,MAXIFS($E$2:$E$1001,$A$2:$A$1001,A227,$E$2:$E$1001,"&lt;"&amp;E227))))</f>
        <v/>
      </c>
      <c r="R227" s="9">
        <f>IF(OR(Q227="",G227=""),"",G227-Q227)</f>
        <v/>
      </c>
      <c r="S227" s="9">
        <f>IF(R227="","",SUMIFS($R$2:$R$1001,$A$2:$A$1001,A227,$E$2:$E$1001,"&lt;="&amp;E227))</f>
        <v/>
      </c>
      <c r="T227" s="5">
        <f>IF(A227="","",IF(R227="","initial",IF(ABS(R227)&lt;=ShiftThresholdDays,"unchanged",IF(R227&gt;0,"delayed","accelerated"))))</f>
        <v/>
      </c>
    </row>
    <row r="228">
      <c r="A228" s="2" t="n"/>
      <c r="B228" s="2" t="n"/>
      <c r="C228" s="2" t="n"/>
      <c r="D228" s="2" t="n"/>
      <c r="E228" s="2" t="n"/>
      <c r="F228" s="2" t="n"/>
      <c r="G228" s="3" t="n"/>
      <c r="H228" s="2" t="n"/>
      <c r="I228" s="3" t="n"/>
      <c r="J228" s="2" t="n"/>
      <c r="K228" s="2" t="n"/>
      <c r="L228" s="2" t="n"/>
      <c r="M228" s="2" t="n"/>
      <c r="N228" s="2" t="n"/>
      <c r="O228" s="2" t="n"/>
      <c r="P228" s="2" t="n"/>
      <c r="Q228" s="4">
        <f>IF(OR(A228="",E228=""),"",IF(MAXIFS($E$2:$E$1001,$A$2:$A$1001,A228,$E$2:$E$1001,"&lt;"&amp;E228)=0,"",SUMIFS($G$2:$G$1001,$A$2:$A$1001,A228,$E$2:$E$1001,MAXIFS($E$2:$E$1001,$A$2:$A$1001,A228,$E$2:$E$1001,"&lt;"&amp;E228))))</f>
        <v/>
      </c>
      <c r="R228" s="9">
        <f>IF(OR(Q228="",G228=""),"",G228-Q228)</f>
        <v/>
      </c>
      <c r="S228" s="9">
        <f>IF(R228="","",SUMIFS($R$2:$R$1001,$A$2:$A$1001,A228,$E$2:$E$1001,"&lt;="&amp;E228))</f>
        <v/>
      </c>
      <c r="T228" s="5">
        <f>IF(A228="","",IF(R228="","initial",IF(ABS(R228)&lt;=ShiftThresholdDays,"unchanged",IF(R228&gt;0,"delayed","accelerated"))))</f>
        <v/>
      </c>
    </row>
    <row r="229">
      <c r="A229" s="2" t="n"/>
      <c r="B229" s="2" t="n"/>
      <c r="C229" s="2" t="n"/>
      <c r="D229" s="2" t="n"/>
      <c r="E229" s="2" t="n"/>
      <c r="F229" s="2" t="n"/>
      <c r="G229" s="3" t="n"/>
      <c r="H229" s="2" t="n"/>
      <c r="I229" s="3" t="n"/>
      <c r="J229" s="2" t="n"/>
      <c r="K229" s="2" t="n"/>
      <c r="L229" s="2" t="n"/>
      <c r="M229" s="2" t="n"/>
      <c r="N229" s="2" t="n"/>
      <c r="O229" s="2" t="n"/>
      <c r="P229" s="2" t="n"/>
      <c r="Q229" s="4">
        <f>IF(OR(A229="",E229=""),"",IF(MAXIFS($E$2:$E$1001,$A$2:$A$1001,A229,$E$2:$E$1001,"&lt;"&amp;E229)=0,"",SUMIFS($G$2:$G$1001,$A$2:$A$1001,A229,$E$2:$E$1001,MAXIFS($E$2:$E$1001,$A$2:$A$1001,A229,$E$2:$E$1001,"&lt;"&amp;E229))))</f>
        <v/>
      </c>
      <c r="R229" s="9">
        <f>IF(OR(Q229="",G229=""),"",G229-Q229)</f>
        <v/>
      </c>
      <c r="S229" s="9">
        <f>IF(R229="","",SUMIFS($R$2:$R$1001,$A$2:$A$1001,A229,$E$2:$E$1001,"&lt;="&amp;E229))</f>
        <v/>
      </c>
      <c r="T229" s="5">
        <f>IF(A229="","",IF(R229="","initial",IF(ABS(R229)&lt;=ShiftThresholdDays,"unchanged",IF(R229&gt;0,"delayed","accelerated"))))</f>
        <v/>
      </c>
    </row>
    <row r="230">
      <c r="A230" s="2" t="n"/>
      <c r="B230" s="2" t="n"/>
      <c r="C230" s="2" t="n"/>
      <c r="D230" s="2" t="n"/>
      <c r="E230" s="2" t="n"/>
      <c r="F230" s="2" t="n"/>
      <c r="G230" s="3" t="n"/>
      <c r="H230" s="2" t="n"/>
      <c r="I230" s="3" t="n"/>
      <c r="J230" s="2" t="n"/>
      <c r="K230" s="2" t="n"/>
      <c r="L230" s="2" t="n"/>
      <c r="M230" s="2" t="n"/>
      <c r="N230" s="2" t="n"/>
      <c r="O230" s="2" t="n"/>
      <c r="P230" s="2" t="n"/>
      <c r="Q230" s="4">
        <f>IF(OR(A230="",E230=""),"",IF(MAXIFS($E$2:$E$1001,$A$2:$A$1001,A230,$E$2:$E$1001,"&lt;"&amp;E230)=0,"",SUMIFS($G$2:$G$1001,$A$2:$A$1001,A230,$E$2:$E$1001,MAXIFS($E$2:$E$1001,$A$2:$A$1001,A230,$E$2:$E$1001,"&lt;"&amp;E230))))</f>
        <v/>
      </c>
      <c r="R230" s="9">
        <f>IF(OR(Q230="",G230=""),"",G230-Q230)</f>
        <v/>
      </c>
      <c r="S230" s="9">
        <f>IF(R230="","",SUMIFS($R$2:$R$1001,$A$2:$A$1001,A230,$E$2:$E$1001,"&lt;="&amp;E230))</f>
        <v/>
      </c>
      <c r="T230" s="5">
        <f>IF(A230="","",IF(R230="","initial",IF(ABS(R230)&lt;=ShiftThresholdDays,"unchanged",IF(R230&gt;0,"delayed","accelerated"))))</f>
        <v/>
      </c>
    </row>
    <row r="231">
      <c r="A231" s="2" t="n"/>
      <c r="B231" s="2" t="n"/>
      <c r="C231" s="2" t="n"/>
      <c r="D231" s="2" t="n"/>
      <c r="E231" s="2" t="n"/>
      <c r="F231" s="2" t="n"/>
      <c r="G231" s="3" t="n"/>
      <c r="H231" s="2" t="n"/>
      <c r="I231" s="3" t="n"/>
      <c r="J231" s="2" t="n"/>
      <c r="K231" s="2" t="n"/>
      <c r="L231" s="2" t="n"/>
      <c r="M231" s="2" t="n"/>
      <c r="N231" s="2" t="n"/>
      <c r="O231" s="2" t="n"/>
      <c r="P231" s="2" t="n"/>
      <c r="Q231" s="4">
        <f>IF(OR(A231="",E231=""),"",IF(MAXIFS($E$2:$E$1001,$A$2:$A$1001,A231,$E$2:$E$1001,"&lt;"&amp;E231)=0,"",SUMIFS($G$2:$G$1001,$A$2:$A$1001,A231,$E$2:$E$1001,MAXIFS($E$2:$E$1001,$A$2:$A$1001,A231,$E$2:$E$1001,"&lt;"&amp;E231))))</f>
        <v/>
      </c>
      <c r="R231" s="9">
        <f>IF(OR(Q231="",G231=""),"",G231-Q231)</f>
        <v/>
      </c>
      <c r="S231" s="9">
        <f>IF(R231="","",SUMIFS($R$2:$R$1001,$A$2:$A$1001,A231,$E$2:$E$1001,"&lt;="&amp;E231))</f>
        <v/>
      </c>
      <c r="T231" s="5">
        <f>IF(A231="","",IF(R231="","initial",IF(ABS(R231)&lt;=ShiftThresholdDays,"unchanged",IF(R231&gt;0,"delayed","accelerated"))))</f>
        <v/>
      </c>
    </row>
    <row r="232">
      <c r="A232" s="2" t="n"/>
      <c r="B232" s="2" t="n"/>
      <c r="C232" s="2" t="n"/>
      <c r="D232" s="2" t="n"/>
      <c r="E232" s="2" t="n"/>
      <c r="F232" s="2" t="n"/>
      <c r="G232" s="3" t="n"/>
      <c r="H232" s="2" t="n"/>
      <c r="I232" s="3" t="n"/>
      <c r="J232" s="2" t="n"/>
      <c r="K232" s="2" t="n"/>
      <c r="L232" s="2" t="n"/>
      <c r="M232" s="2" t="n"/>
      <c r="N232" s="2" t="n"/>
      <c r="O232" s="2" t="n"/>
      <c r="P232" s="2" t="n"/>
      <c r="Q232" s="4">
        <f>IF(OR(A232="",E232=""),"",IF(MAXIFS($E$2:$E$1001,$A$2:$A$1001,A232,$E$2:$E$1001,"&lt;"&amp;E232)=0,"",SUMIFS($G$2:$G$1001,$A$2:$A$1001,A232,$E$2:$E$1001,MAXIFS($E$2:$E$1001,$A$2:$A$1001,A232,$E$2:$E$1001,"&lt;"&amp;E232))))</f>
        <v/>
      </c>
      <c r="R232" s="9">
        <f>IF(OR(Q232="",G232=""),"",G232-Q232)</f>
        <v/>
      </c>
      <c r="S232" s="9">
        <f>IF(R232="","",SUMIFS($R$2:$R$1001,$A$2:$A$1001,A232,$E$2:$E$1001,"&lt;="&amp;E232))</f>
        <v/>
      </c>
      <c r="T232" s="5">
        <f>IF(A232="","",IF(R232="","initial",IF(ABS(R232)&lt;=ShiftThresholdDays,"unchanged",IF(R232&gt;0,"delayed","accelerated"))))</f>
        <v/>
      </c>
    </row>
    <row r="233">
      <c r="A233" s="2" t="n"/>
      <c r="B233" s="2" t="n"/>
      <c r="C233" s="2" t="n"/>
      <c r="D233" s="2" t="n"/>
      <c r="E233" s="2" t="n"/>
      <c r="F233" s="2" t="n"/>
      <c r="G233" s="3" t="n"/>
      <c r="H233" s="2" t="n"/>
      <c r="I233" s="3" t="n"/>
      <c r="J233" s="2" t="n"/>
      <c r="K233" s="2" t="n"/>
      <c r="L233" s="2" t="n"/>
      <c r="M233" s="2" t="n"/>
      <c r="N233" s="2" t="n"/>
      <c r="O233" s="2" t="n"/>
      <c r="P233" s="2" t="n"/>
      <c r="Q233" s="4">
        <f>IF(OR(A233="",E233=""),"",IF(MAXIFS($E$2:$E$1001,$A$2:$A$1001,A233,$E$2:$E$1001,"&lt;"&amp;E233)=0,"",SUMIFS($G$2:$G$1001,$A$2:$A$1001,A233,$E$2:$E$1001,MAXIFS($E$2:$E$1001,$A$2:$A$1001,A233,$E$2:$E$1001,"&lt;"&amp;E233))))</f>
        <v/>
      </c>
      <c r="R233" s="9">
        <f>IF(OR(Q233="",G233=""),"",G233-Q233)</f>
        <v/>
      </c>
      <c r="S233" s="9">
        <f>IF(R233="","",SUMIFS($R$2:$R$1001,$A$2:$A$1001,A233,$E$2:$E$1001,"&lt;="&amp;E233))</f>
        <v/>
      </c>
      <c r="T233" s="5">
        <f>IF(A233="","",IF(R233="","initial",IF(ABS(R233)&lt;=ShiftThresholdDays,"unchanged",IF(R233&gt;0,"delayed","accelerated"))))</f>
        <v/>
      </c>
    </row>
    <row r="234">
      <c r="A234" s="2" t="n"/>
      <c r="B234" s="2" t="n"/>
      <c r="C234" s="2" t="n"/>
      <c r="D234" s="2" t="n"/>
      <c r="E234" s="2" t="n"/>
      <c r="F234" s="2" t="n"/>
      <c r="G234" s="3" t="n"/>
      <c r="H234" s="2" t="n"/>
      <c r="I234" s="3" t="n"/>
      <c r="J234" s="2" t="n"/>
      <c r="K234" s="2" t="n"/>
      <c r="L234" s="2" t="n"/>
      <c r="M234" s="2" t="n"/>
      <c r="N234" s="2" t="n"/>
      <c r="O234" s="2" t="n"/>
      <c r="P234" s="2" t="n"/>
      <c r="Q234" s="4">
        <f>IF(OR(A234="",E234=""),"",IF(MAXIFS($E$2:$E$1001,$A$2:$A$1001,A234,$E$2:$E$1001,"&lt;"&amp;E234)=0,"",SUMIFS($G$2:$G$1001,$A$2:$A$1001,A234,$E$2:$E$1001,MAXIFS($E$2:$E$1001,$A$2:$A$1001,A234,$E$2:$E$1001,"&lt;"&amp;E234))))</f>
        <v/>
      </c>
      <c r="R234" s="9">
        <f>IF(OR(Q234="",G234=""),"",G234-Q234)</f>
        <v/>
      </c>
      <c r="S234" s="9">
        <f>IF(R234="","",SUMIFS($R$2:$R$1001,$A$2:$A$1001,A234,$E$2:$E$1001,"&lt;="&amp;E234))</f>
        <v/>
      </c>
      <c r="T234" s="5">
        <f>IF(A234="","",IF(R234="","initial",IF(ABS(R234)&lt;=ShiftThresholdDays,"unchanged",IF(R234&gt;0,"delayed","accelerated"))))</f>
        <v/>
      </c>
    </row>
    <row r="235">
      <c r="A235" s="2" t="n"/>
      <c r="B235" s="2" t="n"/>
      <c r="C235" s="2" t="n"/>
      <c r="D235" s="2" t="n"/>
      <c r="E235" s="2" t="n"/>
      <c r="F235" s="2" t="n"/>
      <c r="G235" s="3" t="n"/>
      <c r="H235" s="2" t="n"/>
      <c r="I235" s="3" t="n"/>
      <c r="J235" s="2" t="n"/>
      <c r="K235" s="2" t="n"/>
      <c r="L235" s="2" t="n"/>
      <c r="M235" s="2" t="n"/>
      <c r="N235" s="2" t="n"/>
      <c r="O235" s="2" t="n"/>
      <c r="P235" s="2" t="n"/>
      <c r="Q235" s="4">
        <f>IF(OR(A235="",E235=""),"",IF(MAXIFS($E$2:$E$1001,$A$2:$A$1001,A235,$E$2:$E$1001,"&lt;"&amp;E235)=0,"",SUMIFS($G$2:$G$1001,$A$2:$A$1001,A235,$E$2:$E$1001,MAXIFS($E$2:$E$1001,$A$2:$A$1001,A235,$E$2:$E$1001,"&lt;"&amp;E235))))</f>
        <v/>
      </c>
      <c r="R235" s="9">
        <f>IF(OR(Q235="",G235=""),"",G235-Q235)</f>
        <v/>
      </c>
      <c r="S235" s="9">
        <f>IF(R235="","",SUMIFS($R$2:$R$1001,$A$2:$A$1001,A235,$E$2:$E$1001,"&lt;="&amp;E235))</f>
        <v/>
      </c>
      <c r="T235" s="5">
        <f>IF(A235="","",IF(R235="","initial",IF(ABS(R235)&lt;=ShiftThresholdDays,"unchanged",IF(R235&gt;0,"delayed","accelerated"))))</f>
        <v/>
      </c>
    </row>
    <row r="236">
      <c r="A236" s="2" t="n"/>
      <c r="B236" s="2" t="n"/>
      <c r="C236" s="2" t="n"/>
      <c r="D236" s="2" t="n"/>
      <c r="E236" s="2" t="n"/>
      <c r="F236" s="2" t="n"/>
      <c r="G236" s="3" t="n"/>
      <c r="H236" s="2" t="n"/>
      <c r="I236" s="3" t="n"/>
      <c r="J236" s="2" t="n"/>
      <c r="K236" s="2" t="n"/>
      <c r="L236" s="2" t="n"/>
      <c r="M236" s="2" t="n"/>
      <c r="N236" s="2" t="n"/>
      <c r="O236" s="2" t="n"/>
      <c r="P236" s="2" t="n"/>
      <c r="Q236" s="4">
        <f>IF(OR(A236="",E236=""),"",IF(MAXIFS($E$2:$E$1001,$A$2:$A$1001,A236,$E$2:$E$1001,"&lt;"&amp;E236)=0,"",SUMIFS($G$2:$G$1001,$A$2:$A$1001,A236,$E$2:$E$1001,MAXIFS($E$2:$E$1001,$A$2:$A$1001,A236,$E$2:$E$1001,"&lt;"&amp;E236))))</f>
        <v/>
      </c>
      <c r="R236" s="9">
        <f>IF(OR(Q236="",G236=""),"",G236-Q236)</f>
        <v/>
      </c>
      <c r="S236" s="9">
        <f>IF(R236="","",SUMIFS($R$2:$R$1001,$A$2:$A$1001,A236,$E$2:$E$1001,"&lt;="&amp;E236))</f>
        <v/>
      </c>
      <c r="T236" s="5">
        <f>IF(A236="","",IF(R236="","initial",IF(ABS(R236)&lt;=ShiftThresholdDays,"unchanged",IF(R236&gt;0,"delayed","accelerated"))))</f>
        <v/>
      </c>
    </row>
    <row r="237">
      <c r="A237" s="2" t="n"/>
      <c r="B237" s="2" t="n"/>
      <c r="C237" s="2" t="n"/>
      <c r="D237" s="2" t="n"/>
      <c r="E237" s="2" t="n"/>
      <c r="F237" s="2" t="n"/>
      <c r="G237" s="3" t="n"/>
      <c r="H237" s="2" t="n"/>
      <c r="I237" s="3" t="n"/>
      <c r="J237" s="2" t="n"/>
      <c r="K237" s="2" t="n"/>
      <c r="L237" s="2" t="n"/>
      <c r="M237" s="2" t="n"/>
      <c r="N237" s="2" t="n"/>
      <c r="O237" s="2" t="n"/>
      <c r="P237" s="2" t="n"/>
      <c r="Q237" s="4">
        <f>IF(OR(A237="",E237=""),"",IF(MAXIFS($E$2:$E$1001,$A$2:$A$1001,A237,$E$2:$E$1001,"&lt;"&amp;E237)=0,"",SUMIFS($G$2:$G$1001,$A$2:$A$1001,A237,$E$2:$E$1001,MAXIFS($E$2:$E$1001,$A$2:$A$1001,A237,$E$2:$E$1001,"&lt;"&amp;E237))))</f>
        <v/>
      </c>
      <c r="R237" s="9">
        <f>IF(OR(Q237="",G237=""),"",G237-Q237)</f>
        <v/>
      </c>
      <c r="S237" s="9">
        <f>IF(R237="","",SUMIFS($R$2:$R$1001,$A$2:$A$1001,A237,$E$2:$E$1001,"&lt;="&amp;E237))</f>
        <v/>
      </c>
      <c r="T237" s="5">
        <f>IF(A237="","",IF(R237="","initial",IF(ABS(R237)&lt;=ShiftThresholdDays,"unchanged",IF(R237&gt;0,"delayed","accelerated"))))</f>
        <v/>
      </c>
    </row>
    <row r="238">
      <c r="A238" s="2" t="n"/>
      <c r="B238" s="2" t="n"/>
      <c r="C238" s="2" t="n"/>
      <c r="D238" s="2" t="n"/>
      <c r="E238" s="2" t="n"/>
      <c r="F238" s="2" t="n"/>
      <c r="G238" s="3" t="n"/>
      <c r="H238" s="2" t="n"/>
      <c r="I238" s="3" t="n"/>
      <c r="J238" s="2" t="n"/>
      <c r="K238" s="2" t="n"/>
      <c r="L238" s="2" t="n"/>
      <c r="M238" s="2" t="n"/>
      <c r="N238" s="2" t="n"/>
      <c r="O238" s="2" t="n"/>
      <c r="P238" s="2" t="n"/>
      <c r="Q238" s="4">
        <f>IF(OR(A238="",E238=""),"",IF(MAXIFS($E$2:$E$1001,$A$2:$A$1001,A238,$E$2:$E$1001,"&lt;"&amp;E238)=0,"",SUMIFS($G$2:$G$1001,$A$2:$A$1001,A238,$E$2:$E$1001,MAXIFS($E$2:$E$1001,$A$2:$A$1001,A238,$E$2:$E$1001,"&lt;"&amp;E238))))</f>
        <v/>
      </c>
      <c r="R238" s="9">
        <f>IF(OR(Q238="",G238=""),"",G238-Q238)</f>
        <v/>
      </c>
      <c r="S238" s="9">
        <f>IF(R238="","",SUMIFS($R$2:$R$1001,$A$2:$A$1001,A238,$E$2:$E$1001,"&lt;="&amp;E238))</f>
        <v/>
      </c>
      <c r="T238" s="5">
        <f>IF(A238="","",IF(R238="","initial",IF(ABS(R238)&lt;=ShiftThresholdDays,"unchanged",IF(R238&gt;0,"delayed","accelerated"))))</f>
        <v/>
      </c>
    </row>
    <row r="239">
      <c r="A239" s="2" t="n"/>
      <c r="B239" s="2" t="n"/>
      <c r="C239" s="2" t="n"/>
      <c r="D239" s="2" t="n"/>
      <c r="E239" s="2" t="n"/>
      <c r="F239" s="2" t="n"/>
      <c r="G239" s="3" t="n"/>
      <c r="H239" s="2" t="n"/>
      <c r="I239" s="3" t="n"/>
      <c r="J239" s="2" t="n"/>
      <c r="K239" s="2" t="n"/>
      <c r="L239" s="2" t="n"/>
      <c r="M239" s="2" t="n"/>
      <c r="N239" s="2" t="n"/>
      <c r="O239" s="2" t="n"/>
      <c r="P239" s="2" t="n"/>
      <c r="Q239" s="4">
        <f>IF(OR(A239="",E239=""),"",IF(MAXIFS($E$2:$E$1001,$A$2:$A$1001,A239,$E$2:$E$1001,"&lt;"&amp;E239)=0,"",SUMIFS($G$2:$G$1001,$A$2:$A$1001,A239,$E$2:$E$1001,MAXIFS($E$2:$E$1001,$A$2:$A$1001,A239,$E$2:$E$1001,"&lt;"&amp;E239))))</f>
        <v/>
      </c>
      <c r="R239" s="9">
        <f>IF(OR(Q239="",G239=""),"",G239-Q239)</f>
        <v/>
      </c>
      <c r="S239" s="9">
        <f>IF(R239="","",SUMIFS($R$2:$R$1001,$A$2:$A$1001,A239,$E$2:$E$1001,"&lt;="&amp;E239))</f>
        <v/>
      </c>
      <c r="T239" s="5">
        <f>IF(A239="","",IF(R239="","initial",IF(ABS(R239)&lt;=ShiftThresholdDays,"unchanged",IF(R239&gt;0,"delayed","accelerated"))))</f>
        <v/>
      </c>
    </row>
    <row r="240">
      <c r="A240" s="2" t="n"/>
      <c r="B240" s="2" t="n"/>
      <c r="C240" s="2" t="n"/>
      <c r="D240" s="2" t="n"/>
      <c r="E240" s="2" t="n"/>
      <c r="F240" s="2" t="n"/>
      <c r="G240" s="3" t="n"/>
      <c r="H240" s="2" t="n"/>
      <c r="I240" s="3" t="n"/>
      <c r="J240" s="2" t="n"/>
      <c r="K240" s="2" t="n"/>
      <c r="L240" s="2" t="n"/>
      <c r="M240" s="2" t="n"/>
      <c r="N240" s="2" t="n"/>
      <c r="O240" s="2" t="n"/>
      <c r="P240" s="2" t="n"/>
      <c r="Q240" s="4">
        <f>IF(OR(A240="",E240=""),"",IF(MAXIFS($E$2:$E$1001,$A$2:$A$1001,A240,$E$2:$E$1001,"&lt;"&amp;E240)=0,"",SUMIFS($G$2:$G$1001,$A$2:$A$1001,A240,$E$2:$E$1001,MAXIFS($E$2:$E$1001,$A$2:$A$1001,A240,$E$2:$E$1001,"&lt;"&amp;E240))))</f>
        <v/>
      </c>
      <c r="R240" s="9">
        <f>IF(OR(Q240="",G240=""),"",G240-Q240)</f>
        <v/>
      </c>
      <c r="S240" s="9">
        <f>IF(R240="","",SUMIFS($R$2:$R$1001,$A$2:$A$1001,A240,$E$2:$E$1001,"&lt;="&amp;E240))</f>
        <v/>
      </c>
      <c r="T240" s="5">
        <f>IF(A240="","",IF(R240="","initial",IF(ABS(R240)&lt;=ShiftThresholdDays,"unchanged",IF(R240&gt;0,"delayed","accelerated"))))</f>
        <v/>
      </c>
    </row>
    <row r="241">
      <c r="A241" s="2" t="n"/>
      <c r="B241" s="2" t="n"/>
      <c r="C241" s="2" t="n"/>
      <c r="D241" s="2" t="n"/>
      <c r="E241" s="2" t="n"/>
      <c r="F241" s="2" t="n"/>
      <c r="G241" s="3" t="n"/>
      <c r="H241" s="2" t="n"/>
      <c r="I241" s="3" t="n"/>
      <c r="J241" s="2" t="n"/>
      <c r="K241" s="2" t="n"/>
      <c r="L241" s="2" t="n"/>
      <c r="M241" s="2" t="n"/>
      <c r="N241" s="2" t="n"/>
      <c r="O241" s="2" t="n"/>
      <c r="P241" s="2" t="n"/>
      <c r="Q241" s="4">
        <f>IF(OR(A241="",E241=""),"",IF(MAXIFS($E$2:$E$1001,$A$2:$A$1001,A241,$E$2:$E$1001,"&lt;"&amp;E241)=0,"",SUMIFS($G$2:$G$1001,$A$2:$A$1001,A241,$E$2:$E$1001,MAXIFS($E$2:$E$1001,$A$2:$A$1001,A241,$E$2:$E$1001,"&lt;"&amp;E241))))</f>
        <v/>
      </c>
      <c r="R241" s="9">
        <f>IF(OR(Q241="",G241=""),"",G241-Q241)</f>
        <v/>
      </c>
      <c r="S241" s="9">
        <f>IF(R241="","",SUMIFS($R$2:$R$1001,$A$2:$A$1001,A241,$E$2:$E$1001,"&lt;="&amp;E241))</f>
        <v/>
      </c>
      <c r="T241" s="5">
        <f>IF(A241="","",IF(R241="","initial",IF(ABS(R241)&lt;=ShiftThresholdDays,"unchanged",IF(R241&gt;0,"delayed","accelerated"))))</f>
        <v/>
      </c>
    </row>
    <row r="242">
      <c r="A242" s="2" t="n"/>
      <c r="B242" s="2" t="n"/>
      <c r="C242" s="2" t="n"/>
      <c r="D242" s="2" t="n"/>
      <c r="E242" s="2" t="n"/>
      <c r="F242" s="2" t="n"/>
      <c r="G242" s="3" t="n"/>
      <c r="H242" s="2" t="n"/>
      <c r="I242" s="3" t="n"/>
      <c r="J242" s="2" t="n"/>
      <c r="K242" s="2" t="n"/>
      <c r="L242" s="2" t="n"/>
      <c r="M242" s="2" t="n"/>
      <c r="N242" s="2" t="n"/>
      <c r="O242" s="2" t="n"/>
      <c r="P242" s="2" t="n"/>
      <c r="Q242" s="4">
        <f>IF(OR(A242="",E242=""),"",IF(MAXIFS($E$2:$E$1001,$A$2:$A$1001,A242,$E$2:$E$1001,"&lt;"&amp;E242)=0,"",SUMIFS($G$2:$G$1001,$A$2:$A$1001,A242,$E$2:$E$1001,MAXIFS($E$2:$E$1001,$A$2:$A$1001,A242,$E$2:$E$1001,"&lt;"&amp;E242))))</f>
        <v/>
      </c>
      <c r="R242" s="9">
        <f>IF(OR(Q242="",G242=""),"",G242-Q242)</f>
        <v/>
      </c>
      <c r="S242" s="9">
        <f>IF(R242="","",SUMIFS($R$2:$R$1001,$A$2:$A$1001,A242,$E$2:$E$1001,"&lt;="&amp;E242))</f>
        <v/>
      </c>
      <c r="T242" s="5">
        <f>IF(A242="","",IF(R242="","initial",IF(ABS(R242)&lt;=ShiftThresholdDays,"unchanged",IF(R242&gt;0,"delayed","accelerated"))))</f>
        <v/>
      </c>
    </row>
    <row r="243">
      <c r="A243" s="2" t="n"/>
      <c r="B243" s="2" t="n"/>
      <c r="C243" s="2" t="n"/>
      <c r="D243" s="2" t="n"/>
      <c r="E243" s="2" t="n"/>
      <c r="F243" s="2" t="n"/>
      <c r="G243" s="3" t="n"/>
      <c r="H243" s="2" t="n"/>
      <c r="I243" s="3" t="n"/>
      <c r="J243" s="2" t="n"/>
      <c r="K243" s="2" t="n"/>
      <c r="L243" s="2" t="n"/>
      <c r="M243" s="2" t="n"/>
      <c r="N243" s="2" t="n"/>
      <c r="O243" s="2" t="n"/>
      <c r="P243" s="2" t="n"/>
      <c r="Q243" s="4">
        <f>IF(OR(A243="",E243=""),"",IF(MAXIFS($E$2:$E$1001,$A$2:$A$1001,A243,$E$2:$E$1001,"&lt;"&amp;E243)=0,"",SUMIFS($G$2:$G$1001,$A$2:$A$1001,A243,$E$2:$E$1001,MAXIFS($E$2:$E$1001,$A$2:$A$1001,A243,$E$2:$E$1001,"&lt;"&amp;E243))))</f>
        <v/>
      </c>
      <c r="R243" s="9">
        <f>IF(OR(Q243="",G243=""),"",G243-Q243)</f>
        <v/>
      </c>
      <c r="S243" s="9">
        <f>IF(R243="","",SUMIFS($R$2:$R$1001,$A$2:$A$1001,A243,$E$2:$E$1001,"&lt;="&amp;E243))</f>
        <v/>
      </c>
      <c r="T243" s="5">
        <f>IF(A243="","",IF(R243="","initial",IF(ABS(R243)&lt;=ShiftThresholdDays,"unchanged",IF(R243&gt;0,"delayed","accelerated"))))</f>
        <v/>
      </c>
    </row>
    <row r="244">
      <c r="A244" s="2" t="n"/>
      <c r="B244" s="2" t="n"/>
      <c r="C244" s="2" t="n"/>
      <c r="D244" s="2" t="n"/>
      <c r="E244" s="2" t="n"/>
      <c r="F244" s="2" t="n"/>
      <c r="G244" s="3" t="n"/>
      <c r="H244" s="2" t="n"/>
      <c r="I244" s="3" t="n"/>
      <c r="J244" s="2" t="n"/>
      <c r="K244" s="2" t="n"/>
      <c r="L244" s="2" t="n"/>
      <c r="M244" s="2" t="n"/>
      <c r="N244" s="2" t="n"/>
      <c r="O244" s="2" t="n"/>
      <c r="P244" s="2" t="n"/>
      <c r="Q244" s="4">
        <f>IF(OR(A244="",E244=""),"",IF(MAXIFS($E$2:$E$1001,$A$2:$A$1001,A244,$E$2:$E$1001,"&lt;"&amp;E244)=0,"",SUMIFS($G$2:$G$1001,$A$2:$A$1001,A244,$E$2:$E$1001,MAXIFS($E$2:$E$1001,$A$2:$A$1001,A244,$E$2:$E$1001,"&lt;"&amp;E244))))</f>
        <v/>
      </c>
      <c r="R244" s="9">
        <f>IF(OR(Q244="",G244=""),"",G244-Q244)</f>
        <v/>
      </c>
      <c r="S244" s="9">
        <f>IF(R244="","",SUMIFS($R$2:$R$1001,$A$2:$A$1001,A244,$E$2:$E$1001,"&lt;="&amp;E244))</f>
        <v/>
      </c>
      <c r="T244" s="5">
        <f>IF(A244="","",IF(R244="","initial",IF(ABS(R244)&lt;=ShiftThresholdDays,"unchanged",IF(R244&gt;0,"delayed","accelerated"))))</f>
        <v/>
      </c>
    </row>
    <row r="245">
      <c r="A245" s="2" t="n"/>
      <c r="B245" s="2" t="n"/>
      <c r="C245" s="2" t="n"/>
      <c r="D245" s="2" t="n"/>
      <c r="E245" s="2" t="n"/>
      <c r="F245" s="2" t="n"/>
      <c r="G245" s="3" t="n"/>
      <c r="H245" s="2" t="n"/>
      <c r="I245" s="3" t="n"/>
      <c r="J245" s="2" t="n"/>
      <c r="K245" s="2" t="n"/>
      <c r="L245" s="2" t="n"/>
      <c r="M245" s="2" t="n"/>
      <c r="N245" s="2" t="n"/>
      <c r="O245" s="2" t="n"/>
      <c r="P245" s="2" t="n"/>
      <c r="Q245" s="4">
        <f>IF(OR(A245="",E245=""),"",IF(MAXIFS($E$2:$E$1001,$A$2:$A$1001,A245,$E$2:$E$1001,"&lt;"&amp;E245)=0,"",SUMIFS($G$2:$G$1001,$A$2:$A$1001,A245,$E$2:$E$1001,MAXIFS($E$2:$E$1001,$A$2:$A$1001,A245,$E$2:$E$1001,"&lt;"&amp;E245))))</f>
        <v/>
      </c>
      <c r="R245" s="9">
        <f>IF(OR(Q245="",G245=""),"",G245-Q245)</f>
        <v/>
      </c>
      <c r="S245" s="9">
        <f>IF(R245="","",SUMIFS($R$2:$R$1001,$A$2:$A$1001,A245,$E$2:$E$1001,"&lt;="&amp;E245))</f>
        <v/>
      </c>
      <c r="T245" s="5">
        <f>IF(A245="","",IF(R245="","initial",IF(ABS(R245)&lt;=ShiftThresholdDays,"unchanged",IF(R245&gt;0,"delayed","accelerated"))))</f>
        <v/>
      </c>
    </row>
    <row r="246">
      <c r="A246" s="2" t="n"/>
      <c r="B246" s="2" t="n"/>
      <c r="C246" s="2" t="n"/>
      <c r="D246" s="2" t="n"/>
      <c r="E246" s="2" t="n"/>
      <c r="F246" s="2" t="n"/>
      <c r="G246" s="3" t="n"/>
      <c r="H246" s="2" t="n"/>
      <c r="I246" s="3" t="n"/>
      <c r="J246" s="2" t="n"/>
      <c r="K246" s="2" t="n"/>
      <c r="L246" s="2" t="n"/>
      <c r="M246" s="2" t="n"/>
      <c r="N246" s="2" t="n"/>
      <c r="O246" s="2" t="n"/>
      <c r="P246" s="2" t="n"/>
      <c r="Q246" s="4">
        <f>IF(OR(A246="",E246=""),"",IF(MAXIFS($E$2:$E$1001,$A$2:$A$1001,A246,$E$2:$E$1001,"&lt;"&amp;E246)=0,"",SUMIFS($G$2:$G$1001,$A$2:$A$1001,A246,$E$2:$E$1001,MAXIFS($E$2:$E$1001,$A$2:$A$1001,A246,$E$2:$E$1001,"&lt;"&amp;E246))))</f>
        <v/>
      </c>
      <c r="R246" s="9">
        <f>IF(OR(Q246="",G246=""),"",G246-Q246)</f>
        <v/>
      </c>
      <c r="S246" s="9">
        <f>IF(R246="","",SUMIFS($R$2:$R$1001,$A$2:$A$1001,A246,$E$2:$E$1001,"&lt;="&amp;E246))</f>
        <v/>
      </c>
      <c r="T246" s="5">
        <f>IF(A246="","",IF(R246="","initial",IF(ABS(R246)&lt;=ShiftThresholdDays,"unchanged",IF(R246&gt;0,"delayed","accelerated"))))</f>
        <v/>
      </c>
    </row>
    <row r="247">
      <c r="A247" s="2" t="n"/>
      <c r="B247" s="2" t="n"/>
      <c r="C247" s="2" t="n"/>
      <c r="D247" s="2" t="n"/>
      <c r="E247" s="2" t="n"/>
      <c r="F247" s="2" t="n"/>
      <c r="G247" s="3" t="n"/>
      <c r="H247" s="2" t="n"/>
      <c r="I247" s="3" t="n"/>
      <c r="J247" s="2" t="n"/>
      <c r="K247" s="2" t="n"/>
      <c r="L247" s="2" t="n"/>
      <c r="M247" s="2" t="n"/>
      <c r="N247" s="2" t="n"/>
      <c r="O247" s="2" t="n"/>
      <c r="P247" s="2" t="n"/>
      <c r="Q247" s="4">
        <f>IF(OR(A247="",E247=""),"",IF(MAXIFS($E$2:$E$1001,$A$2:$A$1001,A247,$E$2:$E$1001,"&lt;"&amp;E247)=0,"",SUMIFS($G$2:$G$1001,$A$2:$A$1001,A247,$E$2:$E$1001,MAXIFS($E$2:$E$1001,$A$2:$A$1001,A247,$E$2:$E$1001,"&lt;"&amp;E247))))</f>
        <v/>
      </c>
      <c r="R247" s="9">
        <f>IF(OR(Q247="",G247=""),"",G247-Q247)</f>
        <v/>
      </c>
      <c r="S247" s="9">
        <f>IF(R247="","",SUMIFS($R$2:$R$1001,$A$2:$A$1001,A247,$E$2:$E$1001,"&lt;="&amp;E247))</f>
        <v/>
      </c>
      <c r="T247" s="5">
        <f>IF(A247="","",IF(R247="","initial",IF(ABS(R247)&lt;=ShiftThresholdDays,"unchanged",IF(R247&gt;0,"delayed","accelerated"))))</f>
        <v/>
      </c>
    </row>
    <row r="248">
      <c r="A248" s="2" t="n"/>
      <c r="B248" s="2" t="n"/>
      <c r="C248" s="2" t="n"/>
      <c r="D248" s="2" t="n"/>
      <c r="E248" s="2" t="n"/>
      <c r="F248" s="2" t="n"/>
      <c r="G248" s="3" t="n"/>
      <c r="H248" s="2" t="n"/>
      <c r="I248" s="3" t="n"/>
      <c r="J248" s="2" t="n"/>
      <c r="K248" s="2" t="n"/>
      <c r="L248" s="2" t="n"/>
      <c r="M248" s="2" t="n"/>
      <c r="N248" s="2" t="n"/>
      <c r="O248" s="2" t="n"/>
      <c r="P248" s="2" t="n"/>
      <c r="Q248" s="4">
        <f>IF(OR(A248="",E248=""),"",IF(MAXIFS($E$2:$E$1001,$A$2:$A$1001,A248,$E$2:$E$1001,"&lt;"&amp;E248)=0,"",SUMIFS($G$2:$G$1001,$A$2:$A$1001,A248,$E$2:$E$1001,MAXIFS($E$2:$E$1001,$A$2:$A$1001,A248,$E$2:$E$1001,"&lt;"&amp;E248))))</f>
        <v/>
      </c>
      <c r="R248" s="9">
        <f>IF(OR(Q248="",G248=""),"",G248-Q248)</f>
        <v/>
      </c>
      <c r="S248" s="9">
        <f>IF(R248="","",SUMIFS($R$2:$R$1001,$A$2:$A$1001,A248,$E$2:$E$1001,"&lt;="&amp;E248))</f>
        <v/>
      </c>
      <c r="T248" s="5">
        <f>IF(A248="","",IF(R248="","initial",IF(ABS(R248)&lt;=ShiftThresholdDays,"unchanged",IF(R248&gt;0,"delayed","accelerated"))))</f>
        <v/>
      </c>
    </row>
    <row r="249">
      <c r="A249" s="2" t="n"/>
      <c r="B249" s="2" t="n"/>
      <c r="C249" s="2" t="n"/>
      <c r="D249" s="2" t="n"/>
      <c r="E249" s="2" t="n"/>
      <c r="F249" s="2" t="n"/>
      <c r="G249" s="3" t="n"/>
      <c r="H249" s="2" t="n"/>
      <c r="I249" s="3" t="n"/>
      <c r="J249" s="2" t="n"/>
      <c r="K249" s="2" t="n"/>
      <c r="L249" s="2" t="n"/>
      <c r="M249" s="2" t="n"/>
      <c r="N249" s="2" t="n"/>
      <c r="O249" s="2" t="n"/>
      <c r="P249" s="2" t="n"/>
      <c r="Q249" s="4">
        <f>IF(OR(A249="",E249=""),"",IF(MAXIFS($E$2:$E$1001,$A$2:$A$1001,A249,$E$2:$E$1001,"&lt;"&amp;E249)=0,"",SUMIFS($G$2:$G$1001,$A$2:$A$1001,A249,$E$2:$E$1001,MAXIFS($E$2:$E$1001,$A$2:$A$1001,A249,$E$2:$E$1001,"&lt;"&amp;E249))))</f>
        <v/>
      </c>
      <c r="R249" s="9">
        <f>IF(OR(Q249="",G249=""),"",G249-Q249)</f>
        <v/>
      </c>
      <c r="S249" s="9">
        <f>IF(R249="","",SUMIFS($R$2:$R$1001,$A$2:$A$1001,A249,$E$2:$E$1001,"&lt;="&amp;E249))</f>
        <v/>
      </c>
      <c r="T249" s="5">
        <f>IF(A249="","",IF(R249="","initial",IF(ABS(R249)&lt;=ShiftThresholdDays,"unchanged",IF(R249&gt;0,"delayed","accelerated"))))</f>
        <v/>
      </c>
    </row>
    <row r="250">
      <c r="A250" s="2" t="n"/>
      <c r="B250" s="2" t="n"/>
      <c r="C250" s="2" t="n"/>
      <c r="D250" s="2" t="n"/>
      <c r="E250" s="2" t="n"/>
      <c r="F250" s="2" t="n"/>
      <c r="G250" s="3" t="n"/>
      <c r="H250" s="2" t="n"/>
      <c r="I250" s="3" t="n"/>
      <c r="J250" s="2" t="n"/>
      <c r="K250" s="2" t="n"/>
      <c r="L250" s="2" t="n"/>
      <c r="M250" s="2" t="n"/>
      <c r="N250" s="2" t="n"/>
      <c r="O250" s="2" t="n"/>
      <c r="P250" s="2" t="n"/>
      <c r="Q250" s="4">
        <f>IF(OR(A250="",E250=""),"",IF(MAXIFS($E$2:$E$1001,$A$2:$A$1001,A250,$E$2:$E$1001,"&lt;"&amp;E250)=0,"",SUMIFS($G$2:$G$1001,$A$2:$A$1001,A250,$E$2:$E$1001,MAXIFS($E$2:$E$1001,$A$2:$A$1001,A250,$E$2:$E$1001,"&lt;"&amp;E250))))</f>
        <v/>
      </c>
      <c r="R250" s="9">
        <f>IF(OR(Q250="",G250=""),"",G250-Q250)</f>
        <v/>
      </c>
      <c r="S250" s="9">
        <f>IF(R250="","",SUMIFS($R$2:$R$1001,$A$2:$A$1001,A250,$E$2:$E$1001,"&lt;="&amp;E250))</f>
        <v/>
      </c>
      <c r="T250" s="5">
        <f>IF(A250="","",IF(R250="","initial",IF(ABS(R250)&lt;=ShiftThresholdDays,"unchanged",IF(R250&gt;0,"delayed","accelerated"))))</f>
        <v/>
      </c>
    </row>
    <row r="251">
      <c r="A251" s="2" t="n"/>
      <c r="B251" s="2" t="n"/>
      <c r="C251" s="2" t="n"/>
      <c r="D251" s="2" t="n"/>
      <c r="E251" s="2" t="n"/>
      <c r="F251" s="2" t="n"/>
      <c r="G251" s="3" t="n"/>
      <c r="H251" s="2" t="n"/>
      <c r="I251" s="3" t="n"/>
      <c r="J251" s="2" t="n"/>
      <c r="K251" s="2" t="n"/>
      <c r="L251" s="2" t="n"/>
      <c r="M251" s="2" t="n"/>
      <c r="N251" s="2" t="n"/>
      <c r="O251" s="2" t="n"/>
      <c r="P251" s="2" t="n"/>
      <c r="Q251" s="4">
        <f>IF(OR(A251="",E251=""),"",IF(MAXIFS($E$2:$E$1001,$A$2:$A$1001,A251,$E$2:$E$1001,"&lt;"&amp;E251)=0,"",SUMIFS($G$2:$G$1001,$A$2:$A$1001,A251,$E$2:$E$1001,MAXIFS($E$2:$E$1001,$A$2:$A$1001,A251,$E$2:$E$1001,"&lt;"&amp;E251))))</f>
        <v/>
      </c>
      <c r="R251" s="9">
        <f>IF(OR(Q251="",G251=""),"",G251-Q251)</f>
        <v/>
      </c>
      <c r="S251" s="9">
        <f>IF(R251="","",SUMIFS($R$2:$R$1001,$A$2:$A$1001,A251,$E$2:$E$1001,"&lt;="&amp;E251))</f>
        <v/>
      </c>
      <c r="T251" s="5">
        <f>IF(A251="","",IF(R251="","initial",IF(ABS(R251)&lt;=ShiftThresholdDays,"unchanged",IF(R251&gt;0,"delayed","accelerated"))))</f>
        <v/>
      </c>
    </row>
    <row r="252">
      <c r="A252" s="2" t="n"/>
      <c r="B252" s="2" t="n"/>
      <c r="C252" s="2" t="n"/>
      <c r="D252" s="2" t="n"/>
      <c r="E252" s="2" t="n"/>
      <c r="F252" s="2" t="n"/>
      <c r="G252" s="3" t="n"/>
      <c r="H252" s="2" t="n"/>
      <c r="I252" s="3" t="n"/>
      <c r="J252" s="2" t="n"/>
      <c r="K252" s="2" t="n"/>
      <c r="L252" s="2" t="n"/>
      <c r="M252" s="2" t="n"/>
      <c r="N252" s="2" t="n"/>
      <c r="O252" s="2" t="n"/>
      <c r="P252" s="2" t="n"/>
      <c r="Q252" s="4">
        <f>IF(OR(A252="",E252=""),"",IF(MAXIFS($E$2:$E$1001,$A$2:$A$1001,A252,$E$2:$E$1001,"&lt;"&amp;E252)=0,"",SUMIFS($G$2:$G$1001,$A$2:$A$1001,A252,$E$2:$E$1001,MAXIFS($E$2:$E$1001,$A$2:$A$1001,A252,$E$2:$E$1001,"&lt;"&amp;E252))))</f>
        <v/>
      </c>
      <c r="R252" s="9">
        <f>IF(OR(Q252="",G252=""),"",G252-Q252)</f>
        <v/>
      </c>
      <c r="S252" s="9">
        <f>IF(R252="","",SUMIFS($R$2:$R$1001,$A$2:$A$1001,A252,$E$2:$E$1001,"&lt;="&amp;E252))</f>
        <v/>
      </c>
      <c r="T252" s="5">
        <f>IF(A252="","",IF(R252="","initial",IF(ABS(R252)&lt;=ShiftThresholdDays,"unchanged",IF(R252&gt;0,"delayed","accelerated"))))</f>
        <v/>
      </c>
    </row>
    <row r="253">
      <c r="A253" s="2" t="n"/>
      <c r="B253" s="2" t="n"/>
      <c r="C253" s="2" t="n"/>
      <c r="D253" s="2" t="n"/>
      <c r="E253" s="2" t="n"/>
      <c r="F253" s="2" t="n"/>
      <c r="G253" s="3" t="n"/>
      <c r="H253" s="2" t="n"/>
      <c r="I253" s="3" t="n"/>
      <c r="J253" s="2" t="n"/>
      <c r="K253" s="2" t="n"/>
      <c r="L253" s="2" t="n"/>
      <c r="M253" s="2" t="n"/>
      <c r="N253" s="2" t="n"/>
      <c r="O253" s="2" t="n"/>
      <c r="P253" s="2" t="n"/>
      <c r="Q253" s="4">
        <f>IF(OR(A253="",E253=""),"",IF(MAXIFS($E$2:$E$1001,$A$2:$A$1001,A253,$E$2:$E$1001,"&lt;"&amp;E253)=0,"",SUMIFS($G$2:$G$1001,$A$2:$A$1001,A253,$E$2:$E$1001,MAXIFS($E$2:$E$1001,$A$2:$A$1001,A253,$E$2:$E$1001,"&lt;"&amp;E253))))</f>
        <v/>
      </c>
      <c r="R253" s="9">
        <f>IF(OR(Q253="",G253=""),"",G253-Q253)</f>
        <v/>
      </c>
      <c r="S253" s="9">
        <f>IF(R253="","",SUMIFS($R$2:$R$1001,$A$2:$A$1001,A253,$E$2:$E$1001,"&lt;="&amp;E253))</f>
        <v/>
      </c>
      <c r="T253" s="5">
        <f>IF(A253="","",IF(R253="","initial",IF(ABS(R253)&lt;=ShiftThresholdDays,"unchanged",IF(R253&gt;0,"delayed","accelerated"))))</f>
        <v/>
      </c>
    </row>
    <row r="254">
      <c r="A254" s="2" t="n"/>
      <c r="B254" s="2" t="n"/>
      <c r="C254" s="2" t="n"/>
      <c r="D254" s="2" t="n"/>
      <c r="E254" s="2" t="n"/>
      <c r="F254" s="2" t="n"/>
      <c r="G254" s="3" t="n"/>
      <c r="H254" s="2" t="n"/>
      <c r="I254" s="3" t="n"/>
      <c r="J254" s="2" t="n"/>
      <c r="K254" s="2" t="n"/>
      <c r="L254" s="2" t="n"/>
      <c r="M254" s="2" t="n"/>
      <c r="N254" s="2" t="n"/>
      <c r="O254" s="2" t="n"/>
      <c r="P254" s="2" t="n"/>
      <c r="Q254" s="4">
        <f>IF(OR(A254="",E254=""),"",IF(MAXIFS($E$2:$E$1001,$A$2:$A$1001,A254,$E$2:$E$1001,"&lt;"&amp;E254)=0,"",SUMIFS($G$2:$G$1001,$A$2:$A$1001,A254,$E$2:$E$1001,MAXIFS($E$2:$E$1001,$A$2:$A$1001,A254,$E$2:$E$1001,"&lt;"&amp;E254))))</f>
        <v/>
      </c>
      <c r="R254" s="9">
        <f>IF(OR(Q254="",G254=""),"",G254-Q254)</f>
        <v/>
      </c>
      <c r="S254" s="9">
        <f>IF(R254="","",SUMIFS($R$2:$R$1001,$A$2:$A$1001,A254,$E$2:$E$1001,"&lt;="&amp;E254))</f>
        <v/>
      </c>
      <c r="T254" s="5">
        <f>IF(A254="","",IF(R254="","initial",IF(ABS(R254)&lt;=ShiftThresholdDays,"unchanged",IF(R254&gt;0,"delayed","accelerated"))))</f>
        <v/>
      </c>
    </row>
    <row r="255">
      <c r="A255" s="2" t="n"/>
      <c r="B255" s="2" t="n"/>
      <c r="C255" s="2" t="n"/>
      <c r="D255" s="2" t="n"/>
      <c r="E255" s="2" t="n"/>
      <c r="F255" s="2" t="n"/>
      <c r="G255" s="3" t="n"/>
      <c r="H255" s="2" t="n"/>
      <c r="I255" s="3" t="n"/>
      <c r="J255" s="2" t="n"/>
      <c r="K255" s="2" t="n"/>
      <c r="L255" s="2" t="n"/>
      <c r="M255" s="2" t="n"/>
      <c r="N255" s="2" t="n"/>
      <c r="O255" s="2" t="n"/>
      <c r="P255" s="2" t="n"/>
      <c r="Q255" s="4">
        <f>IF(OR(A255="",E255=""),"",IF(MAXIFS($E$2:$E$1001,$A$2:$A$1001,A255,$E$2:$E$1001,"&lt;"&amp;E255)=0,"",SUMIFS($G$2:$G$1001,$A$2:$A$1001,A255,$E$2:$E$1001,MAXIFS($E$2:$E$1001,$A$2:$A$1001,A255,$E$2:$E$1001,"&lt;"&amp;E255))))</f>
        <v/>
      </c>
      <c r="R255" s="9">
        <f>IF(OR(Q255="",G255=""),"",G255-Q255)</f>
        <v/>
      </c>
      <c r="S255" s="9">
        <f>IF(R255="","",SUMIFS($R$2:$R$1001,$A$2:$A$1001,A255,$E$2:$E$1001,"&lt;="&amp;E255))</f>
        <v/>
      </c>
      <c r="T255" s="5">
        <f>IF(A255="","",IF(R255="","initial",IF(ABS(R255)&lt;=ShiftThresholdDays,"unchanged",IF(R255&gt;0,"delayed","accelerated"))))</f>
        <v/>
      </c>
    </row>
    <row r="256">
      <c r="A256" s="2" t="n"/>
      <c r="B256" s="2" t="n"/>
      <c r="C256" s="2" t="n"/>
      <c r="D256" s="2" t="n"/>
      <c r="E256" s="2" t="n"/>
      <c r="F256" s="2" t="n"/>
      <c r="G256" s="3" t="n"/>
      <c r="H256" s="2" t="n"/>
      <c r="I256" s="3" t="n"/>
      <c r="J256" s="2" t="n"/>
      <c r="K256" s="2" t="n"/>
      <c r="L256" s="2" t="n"/>
      <c r="M256" s="2" t="n"/>
      <c r="N256" s="2" t="n"/>
      <c r="O256" s="2" t="n"/>
      <c r="P256" s="2" t="n"/>
      <c r="Q256" s="4">
        <f>IF(OR(A256="",E256=""),"",IF(MAXIFS($E$2:$E$1001,$A$2:$A$1001,A256,$E$2:$E$1001,"&lt;"&amp;E256)=0,"",SUMIFS($G$2:$G$1001,$A$2:$A$1001,A256,$E$2:$E$1001,MAXIFS($E$2:$E$1001,$A$2:$A$1001,A256,$E$2:$E$1001,"&lt;"&amp;E256))))</f>
        <v/>
      </c>
      <c r="R256" s="9">
        <f>IF(OR(Q256="",G256=""),"",G256-Q256)</f>
        <v/>
      </c>
      <c r="S256" s="9">
        <f>IF(R256="","",SUMIFS($R$2:$R$1001,$A$2:$A$1001,A256,$E$2:$E$1001,"&lt;="&amp;E256))</f>
        <v/>
      </c>
      <c r="T256" s="5">
        <f>IF(A256="","",IF(R256="","initial",IF(ABS(R256)&lt;=ShiftThresholdDays,"unchanged",IF(R256&gt;0,"delayed","accelerated"))))</f>
        <v/>
      </c>
    </row>
    <row r="257">
      <c r="A257" s="2" t="n"/>
      <c r="B257" s="2" t="n"/>
      <c r="C257" s="2" t="n"/>
      <c r="D257" s="2" t="n"/>
      <c r="E257" s="2" t="n"/>
      <c r="F257" s="2" t="n"/>
      <c r="G257" s="3" t="n"/>
      <c r="H257" s="2" t="n"/>
      <c r="I257" s="3" t="n"/>
      <c r="J257" s="2" t="n"/>
      <c r="K257" s="2" t="n"/>
      <c r="L257" s="2" t="n"/>
      <c r="M257" s="2" t="n"/>
      <c r="N257" s="2" t="n"/>
      <c r="O257" s="2" t="n"/>
      <c r="P257" s="2" t="n"/>
      <c r="Q257" s="4">
        <f>IF(OR(A257="",E257=""),"",IF(MAXIFS($E$2:$E$1001,$A$2:$A$1001,A257,$E$2:$E$1001,"&lt;"&amp;E257)=0,"",SUMIFS($G$2:$G$1001,$A$2:$A$1001,A257,$E$2:$E$1001,MAXIFS($E$2:$E$1001,$A$2:$A$1001,A257,$E$2:$E$1001,"&lt;"&amp;E257))))</f>
        <v/>
      </c>
      <c r="R257" s="9">
        <f>IF(OR(Q257="",G257=""),"",G257-Q257)</f>
        <v/>
      </c>
      <c r="S257" s="9">
        <f>IF(R257="","",SUMIFS($R$2:$R$1001,$A$2:$A$1001,A257,$E$2:$E$1001,"&lt;="&amp;E257))</f>
        <v/>
      </c>
      <c r="T257" s="5">
        <f>IF(A257="","",IF(R257="","initial",IF(ABS(R257)&lt;=ShiftThresholdDays,"unchanged",IF(R257&gt;0,"delayed","accelerated"))))</f>
        <v/>
      </c>
    </row>
    <row r="258">
      <c r="A258" s="2" t="n"/>
      <c r="B258" s="2" t="n"/>
      <c r="C258" s="2" t="n"/>
      <c r="D258" s="2" t="n"/>
      <c r="E258" s="2" t="n"/>
      <c r="F258" s="2" t="n"/>
      <c r="G258" s="3" t="n"/>
      <c r="H258" s="2" t="n"/>
      <c r="I258" s="3" t="n"/>
      <c r="J258" s="2" t="n"/>
      <c r="K258" s="2" t="n"/>
      <c r="L258" s="2" t="n"/>
      <c r="M258" s="2" t="n"/>
      <c r="N258" s="2" t="n"/>
      <c r="O258" s="2" t="n"/>
      <c r="P258" s="2" t="n"/>
      <c r="Q258" s="4">
        <f>IF(OR(A258="",E258=""),"",IF(MAXIFS($E$2:$E$1001,$A$2:$A$1001,A258,$E$2:$E$1001,"&lt;"&amp;E258)=0,"",SUMIFS($G$2:$G$1001,$A$2:$A$1001,A258,$E$2:$E$1001,MAXIFS($E$2:$E$1001,$A$2:$A$1001,A258,$E$2:$E$1001,"&lt;"&amp;E258))))</f>
        <v/>
      </c>
      <c r="R258" s="9">
        <f>IF(OR(Q258="",G258=""),"",G258-Q258)</f>
        <v/>
      </c>
      <c r="S258" s="9">
        <f>IF(R258="","",SUMIFS($R$2:$R$1001,$A$2:$A$1001,A258,$E$2:$E$1001,"&lt;="&amp;E258))</f>
        <v/>
      </c>
      <c r="T258" s="5">
        <f>IF(A258="","",IF(R258="","initial",IF(ABS(R258)&lt;=ShiftThresholdDays,"unchanged",IF(R258&gt;0,"delayed","accelerated"))))</f>
        <v/>
      </c>
    </row>
    <row r="259">
      <c r="A259" s="2" t="n"/>
      <c r="B259" s="2" t="n"/>
      <c r="C259" s="2" t="n"/>
      <c r="D259" s="2" t="n"/>
      <c r="E259" s="2" t="n"/>
      <c r="F259" s="2" t="n"/>
      <c r="G259" s="3" t="n"/>
      <c r="H259" s="2" t="n"/>
      <c r="I259" s="3" t="n"/>
      <c r="J259" s="2" t="n"/>
      <c r="K259" s="2" t="n"/>
      <c r="L259" s="2" t="n"/>
      <c r="M259" s="2" t="n"/>
      <c r="N259" s="2" t="n"/>
      <c r="O259" s="2" t="n"/>
      <c r="P259" s="2" t="n"/>
      <c r="Q259" s="4">
        <f>IF(OR(A259="",E259=""),"",IF(MAXIFS($E$2:$E$1001,$A$2:$A$1001,A259,$E$2:$E$1001,"&lt;"&amp;E259)=0,"",SUMIFS($G$2:$G$1001,$A$2:$A$1001,A259,$E$2:$E$1001,MAXIFS($E$2:$E$1001,$A$2:$A$1001,A259,$E$2:$E$1001,"&lt;"&amp;E259))))</f>
        <v/>
      </c>
      <c r="R259" s="9">
        <f>IF(OR(Q259="",G259=""),"",G259-Q259)</f>
        <v/>
      </c>
      <c r="S259" s="9">
        <f>IF(R259="","",SUMIFS($R$2:$R$1001,$A$2:$A$1001,A259,$E$2:$E$1001,"&lt;="&amp;E259))</f>
        <v/>
      </c>
      <c r="T259" s="5">
        <f>IF(A259="","",IF(R259="","initial",IF(ABS(R259)&lt;=ShiftThresholdDays,"unchanged",IF(R259&gt;0,"delayed","accelerated"))))</f>
        <v/>
      </c>
    </row>
    <row r="260">
      <c r="A260" s="2" t="n"/>
      <c r="B260" s="2" t="n"/>
      <c r="C260" s="2" t="n"/>
      <c r="D260" s="2" t="n"/>
      <c r="E260" s="2" t="n"/>
      <c r="F260" s="2" t="n"/>
      <c r="G260" s="3" t="n"/>
      <c r="H260" s="2" t="n"/>
      <c r="I260" s="3" t="n"/>
      <c r="J260" s="2" t="n"/>
      <c r="K260" s="2" t="n"/>
      <c r="L260" s="2" t="n"/>
      <c r="M260" s="2" t="n"/>
      <c r="N260" s="2" t="n"/>
      <c r="O260" s="2" t="n"/>
      <c r="P260" s="2" t="n"/>
      <c r="Q260" s="4">
        <f>IF(OR(A260="",E260=""),"",IF(MAXIFS($E$2:$E$1001,$A$2:$A$1001,A260,$E$2:$E$1001,"&lt;"&amp;E260)=0,"",SUMIFS($G$2:$G$1001,$A$2:$A$1001,A260,$E$2:$E$1001,MAXIFS($E$2:$E$1001,$A$2:$A$1001,A260,$E$2:$E$1001,"&lt;"&amp;E260))))</f>
        <v/>
      </c>
      <c r="R260" s="9">
        <f>IF(OR(Q260="",G260=""),"",G260-Q260)</f>
        <v/>
      </c>
      <c r="S260" s="9">
        <f>IF(R260="","",SUMIFS($R$2:$R$1001,$A$2:$A$1001,A260,$E$2:$E$1001,"&lt;="&amp;E260))</f>
        <v/>
      </c>
      <c r="T260" s="5">
        <f>IF(A260="","",IF(R260="","initial",IF(ABS(R260)&lt;=ShiftThresholdDays,"unchanged",IF(R260&gt;0,"delayed","accelerated"))))</f>
        <v/>
      </c>
    </row>
    <row r="261">
      <c r="A261" s="2" t="n"/>
      <c r="B261" s="2" t="n"/>
      <c r="C261" s="2" t="n"/>
      <c r="D261" s="2" t="n"/>
      <c r="E261" s="2" t="n"/>
      <c r="F261" s="2" t="n"/>
      <c r="G261" s="3" t="n"/>
      <c r="H261" s="2" t="n"/>
      <c r="I261" s="3" t="n"/>
      <c r="J261" s="2" t="n"/>
      <c r="K261" s="2" t="n"/>
      <c r="L261" s="2" t="n"/>
      <c r="M261" s="2" t="n"/>
      <c r="N261" s="2" t="n"/>
      <c r="O261" s="2" t="n"/>
      <c r="P261" s="2" t="n"/>
      <c r="Q261" s="4">
        <f>IF(OR(A261="",E261=""),"",IF(MAXIFS($E$2:$E$1001,$A$2:$A$1001,A261,$E$2:$E$1001,"&lt;"&amp;E261)=0,"",SUMIFS($G$2:$G$1001,$A$2:$A$1001,A261,$E$2:$E$1001,MAXIFS($E$2:$E$1001,$A$2:$A$1001,A261,$E$2:$E$1001,"&lt;"&amp;E261))))</f>
        <v/>
      </c>
      <c r="R261" s="9">
        <f>IF(OR(Q261="",G261=""),"",G261-Q261)</f>
        <v/>
      </c>
      <c r="S261" s="9">
        <f>IF(R261="","",SUMIFS($R$2:$R$1001,$A$2:$A$1001,A261,$E$2:$E$1001,"&lt;="&amp;E261))</f>
        <v/>
      </c>
      <c r="T261" s="5">
        <f>IF(A261="","",IF(R261="","initial",IF(ABS(R261)&lt;=ShiftThresholdDays,"unchanged",IF(R261&gt;0,"delayed","accelerated"))))</f>
        <v/>
      </c>
    </row>
    <row r="262">
      <c r="A262" s="2" t="n"/>
      <c r="B262" s="2" t="n"/>
      <c r="C262" s="2" t="n"/>
      <c r="D262" s="2" t="n"/>
      <c r="E262" s="2" t="n"/>
      <c r="F262" s="2" t="n"/>
      <c r="G262" s="3" t="n"/>
      <c r="H262" s="2" t="n"/>
      <c r="I262" s="3" t="n"/>
      <c r="J262" s="2" t="n"/>
      <c r="K262" s="2" t="n"/>
      <c r="L262" s="2" t="n"/>
      <c r="M262" s="2" t="n"/>
      <c r="N262" s="2" t="n"/>
      <c r="O262" s="2" t="n"/>
      <c r="P262" s="2" t="n"/>
      <c r="Q262" s="4">
        <f>IF(OR(A262="",E262=""),"",IF(MAXIFS($E$2:$E$1001,$A$2:$A$1001,A262,$E$2:$E$1001,"&lt;"&amp;E262)=0,"",SUMIFS($G$2:$G$1001,$A$2:$A$1001,A262,$E$2:$E$1001,MAXIFS($E$2:$E$1001,$A$2:$A$1001,A262,$E$2:$E$1001,"&lt;"&amp;E262))))</f>
        <v/>
      </c>
      <c r="R262" s="9">
        <f>IF(OR(Q262="",G262=""),"",G262-Q262)</f>
        <v/>
      </c>
      <c r="S262" s="9">
        <f>IF(R262="","",SUMIFS($R$2:$R$1001,$A$2:$A$1001,A262,$E$2:$E$1001,"&lt;="&amp;E262))</f>
        <v/>
      </c>
      <c r="T262" s="5">
        <f>IF(A262="","",IF(R262="","initial",IF(ABS(R262)&lt;=ShiftThresholdDays,"unchanged",IF(R262&gt;0,"delayed","accelerated"))))</f>
        <v/>
      </c>
    </row>
    <row r="263">
      <c r="A263" s="2" t="n"/>
      <c r="B263" s="2" t="n"/>
      <c r="C263" s="2" t="n"/>
      <c r="D263" s="2" t="n"/>
      <c r="E263" s="2" t="n"/>
      <c r="F263" s="2" t="n"/>
      <c r="G263" s="3" t="n"/>
      <c r="H263" s="2" t="n"/>
      <c r="I263" s="3" t="n"/>
      <c r="J263" s="2" t="n"/>
      <c r="K263" s="2" t="n"/>
      <c r="L263" s="2" t="n"/>
      <c r="M263" s="2" t="n"/>
      <c r="N263" s="2" t="n"/>
      <c r="O263" s="2" t="n"/>
      <c r="P263" s="2" t="n"/>
      <c r="Q263" s="4">
        <f>IF(OR(A263="",E263=""),"",IF(MAXIFS($E$2:$E$1001,$A$2:$A$1001,A263,$E$2:$E$1001,"&lt;"&amp;E263)=0,"",SUMIFS($G$2:$G$1001,$A$2:$A$1001,A263,$E$2:$E$1001,MAXIFS($E$2:$E$1001,$A$2:$A$1001,A263,$E$2:$E$1001,"&lt;"&amp;E263))))</f>
        <v/>
      </c>
      <c r="R263" s="9">
        <f>IF(OR(Q263="",G263=""),"",G263-Q263)</f>
        <v/>
      </c>
      <c r="S263" s="9">
        <f>IF(R263="","",SUMIFS($R$2:$R$1001,$A$2:$A$1001,A263,$E$2:$E$1001,"&lt;="&amp;E263))</f>
        <v/>
      </c>
      <c r="T263" s="5">
        <f>IF(A263="","",IF(R263="","initial",IF(ABS(R263)&lt;=ShiftThresholdDays,"unchanged",IF(R263&gt;0,"delayed","accelerated"))))</f>
        <v/>
      </c>
    </row>
    <row r="264">
      <c r="A264" s="2" t="n"/>
      <c r="B264" s="2" t="n"/>
      <c r="C264" s="2" t="n"/>
      <c r="D264" s="2" t="n"/>
      <c r="E264" s="2" t="n"/>
      <c r="F264" s="2" t="n"/>
      <c r="G264" s="3" t="n"/>
      <c r="H264" s="2" t="n"/>
      <c r="I264" s="3" t="n"/>
      <c r="J264" s="2" t="n"/>
      <c r="K264" s="2" t="n"/>
      <c r="L264" s="2" t="n"/>
      <c r="M264" s="2" t="n"/>
      <c r="N264" s="2" t="n"/>
      <c r="O264" s="2" t="n"/>
      <c r="P264" s="2" t="n"/>
      <c r="Q264" s="4">
        <f>IF(OR(A264="",E264=""),"",IF(MAXIFS($E$2:$E$1001,$A$2:$A$1001,A264,$E$2:$E$1001,"&lt;"&amp;E264)=0,"",SUMIFS($G$2:$G$1001,$A$2:$A$1001,A264,$E$2:$E$1001,MAXIFS($E$2:$E$1001,$A$2:$A$1001,A264,$E$2:$E$1001,"&lt;"&amp;E264))))</f>
        <v/>
      </c>
      <c r="R264" s="9">
        <f>IF(OR(Q264="",G264=""),"",G264-Q264)</f>
        <v/>
      </c>
      <c r="S264" s="9">
        <f>IF(R264="","",SUMIFS($R$2:$R$1001,$A$2:$A$1001,A264,$E$2:$E$1001,"&lt;="&amp;E264))</f>
        <v/>
      </c>
      <c r="T264" s="5">
        <f>IF(A264="","",IF(R264="","initial",IF(ABS(R264)&lt;=ShiftThresholdDays,"unchanged",IF(R264&gt;0,"delayed","accelerated"))))</f>
        <v/>
      </c>
    </row>
    <row r="265">
      <c r="A265" s="2" t="n"/>
      <c r="B265" s="2" t="n"/>
      <c r="C265" s="2" t="n"/>
      <c r="D265" s="2" t="n"/>
      <c r="E265" s="2" t="n"/>
      <c r="F265" s="2" t="n"/>
      <c r="G265" s="3" t="n"/>
      <c r="H265" s="2" t="n"/>
      <c r="I265" s="3" t="n"/>
      <c r="J265" s="2" t="n"/>
      <c r="K265" s="2" t="n"/>
      <c r="L265" s="2" t="n"/>
      <c r="M265" s="2" t="n"/>
      <c r="N265" s="2" t="n"/>
      <c r="O265" s="2" t="n"/>
      <c r="P265" s="2" t="n"/>
      <c r="Q265" s="4">
        <f>IF(OR(A265="",E265=""),"",IF(MAXIFS($E$2:$E$1001,$A$2:$A$1001,A265,$E$2:$E$1001,"&lt;"&amp;E265)=0,"",SUMIFS($G$2:$G$1001,$A$2:$A$1001,A265,$E$2:$E$1001,MAXIFS($E$2:$E$1001,$A$2:$A$1001,A265,$E$2:$E$1001,"&lt;"&amp;E265))))</f>
        <v/>
      </c>
      <c r="R265" s="9">
        <f>IF(OR(Q265="",G265=""),"",G265-Q265)</f>
        <v/>
      </c>
      <c r="S265" s="9">
        <f>IF(R265="","",SUMIFS($R$2:$R$1001,$A$2:$A$1001,A265,$E$2:$E$1001,"&lt;="&amp;E265))</f>
        <v/>
      </c>
      <c r="T265" s="5">
        <f>IF(A265="","",IF(R265="","initial",IF(ABS(R265)&lt;=ShiftThresholdDays,"unchanged",IF(R265&gt;0,"delayed","accelerated"))))</f>
        <v/>
      </c>
    </row>
    <row r="266">
      <c r="A266" s="2" t="n"/>
      <c r="B266" s="2" t="n"/>
      <c r="C266" s="2" t="n"/>
      <c r="D266" s="2" t="n"/>
      <c r="E266" s="2" t="n"/>
      <c r="F266" s="2" t="n"/>
      <c r="G266" s="3" t="n"/>
      <c r="H266" s="2" t="n"/>
      <c r="I266" s="3" t="n"/>
      <c r="J266" s="2" t="n"/>
      <c r="K266" s="2" t="n"/>
      <c r="L266" s="2" t="n"/>
      <c r="M266" s="2" t="n"/>
      <c r="N266" s="2" t="n"/>
      <c r="O266" s="2" t="n"/>
      <c r="P266" s="2" t="n"/>
      <c r="Q266" s="4">
        <f>IF(OR(A266="",E266=""),"",IF(MAXIFS($E$2:$E$1001,$A$2:$A$1001,A266,$E$2:$E$1001,"&lt;"&amp;E266)=0,"",SUMIFS($G$2:$G$1001,$A$2:$A$1001,A266,$E$2:$E$1001,MAXIFS($E$2:$E$1001,$A$2:$A$1001,A266,$E$2:$E$1001,"&lt;"&amp;E266))))</f>
        <v/>
      </c>
      <c r="R266" s="9">
        <f>IF(OR(Q266="",G266=""),"",G266-Q266)</f>
        <v/>
      </c>
      <c r="S266" s="9">
        <f>IF(R266="","",SUMIFS($R$2:$R$1001,$A$2:$A$1001,A266,$E$2:$E$1001,"&lt;="&amp;E266))</f>
        <v/>
      </c>
      <c r="T266" s="5">
        <f>IF(A266="","",IF(R266="","initial",IF(ABS(R266)&lt;=ShiftThresholdDays,"unchanged",IF(R266&gt;0,"delayed","accelerated"))))</f>
        <v/>
      </c>
    </row>
    <row r="267">
      <c r="A267" s="2" t="n"/>
      <c r="B267" s="2" t="n"/>
      <c r="C267" s="2" t="n"/>
      <c r="D267" s="2" t="n"/>
      <c r="E267" s="2" t="n"/>
      <c r="F267" s="2" t="n"/>
      <c r="G267" s="3" t="n"/>
      <c r="H267" s="2" t="n"/>
      <c r="I267" s="3" t="n"/>
      <c r="J267" s="2" t="n"/>
      <c r="K267" s="2" t="n"/>
      <c r="L267" s="2" t="n"/>
      <c r="M267" s="2" t="n"/>
      <c r="N267" s="2" t="n"/>
      <c r="O267" s="2" t="n"/>
      <c r="P267" s="2" t="n"/>
      <c r="Q267" s="4">
        <f>IF(OR(A267="",E267=""),"",IF(MAXIFS($E$2:$E$1001,$A$2:$A$1001,A267,$E$2:$E$1001,"&lt;"&amp;E267)=0,"",SUMIFS($G$2:$G$1001,$A$2:$A$1001,A267,$E$2:$E$1001,MAXIFS($E$2:$E$1001,$A$2:$A$1001,A267,$E$2:$E$1001,"&lt;"&amp;E267))))</f>
        <v/>
      </c>
      <c r="R267" s="9">
        <f>IF(OR(Q267="",G267=""),"",G267-Q267)</f>
        <v/>
      </c>
      <c r="S267" s="9">
        <f>IF(R267="","",SUMIFS($R$2:$R$1001,$A$2:$A$1001,A267,$E$2:$E$1001,"&lt;="&amp;E267))</f>
        <v/>
      </c>
      <c r="T267" s="5">
        <f>IF(A267="","",IF(R267="","initial",IF(ABS(R267)&lt;=ShiftThresholdDays,"unchanged",IF(R267&gt;0,"delayed","accelerated"))))</f>
        <v/>
      </c>
    </row>
    <row r="268">
      <c r="A268" s="2" t="n"/>
      <c r="B268" s="2" t="n"/>
      <c r="C268" s="2" t="n"/>
      <c r="D268" s="2" t="n"/>
      <c r="E268" s="2" t="n"/>
      <c r="F268" s="2" t="n"/>
      <c r="G268" s="3" t="n"/>
      <c r="H268" s="2" t="n"/>
      <c r="I268" s="3" t="n"/>
      <c r="J268" s="2" t="n"/>
      <c r="K268" s="2" t="n"/>
      <c r="L268" s="2" t="n"/>
      <c r="M268" s="2" t="n"/>
      <c r="N268" s="2" t="n"/>
      <c r="O268" s="2" t="n"/>
      <c r="P268" s="2" t="n"/>
      <c r="Q268" s="4">
        <f>IF(OR(A268="",E268=""),"",IF(MAXIFS($E$2:$E$1001,$A$2:$A$1001,A268,$E$2:$E$1001,"&lt;"&amp;E268)=0,"",SUMIFS($G$2:$G$1001,$A$2:$A$1001,A268,$E$2:$E$1001,MAXIFS($E$2:$E$1001,$A$2:$A$1001,A268,$E$2:$E$1001,"&lt;"&amp;E268))))</f>
        <v/>
      </c>
      <c r="R268" s="9">
        <f>IF(OR(Q268="",G268=""),"",G268-Q268)</f>
        <v/>
      </c>
      <c r="S268" s="9">
        <f>IF(R268="","",SUMIFS($R$2:$R$1001,$A$2:$A$1001,A268,$E$2:$E$1001,"&lt;="&amp;E268))</f>
        <v/>
      </c>
      <c r="T268" s="5">
        <f>IF(A268="","",IF(R268="","initial",IF(ABS(R268)&lt;=ShiftThresholdDays,"unchanged",IF(R268&gt;0,"delayed","accelerated"))))</f>
        <v/>
      </c>
    </row>
    <row r="269">
      <c r="A269" s="2" t="n"/>
      <c r="B269" s="2" t="n"/>
      <c r="C269" s="2" t="n"/>
      <c r="D269" s="2" t="n"/>
      <c r="E269" s="2" t="n"/>
      <c r="F269" s="2" t="n"/>
      <c r="G269" s="3" t="n"/>
      <c r="H269" s="2" t="n"/>
      <c r="I269" s="3" t="n"/>
      <c r="J269" s="2" t="n"/>
      <c r="K269" s="2" t="n"/>
      <c r="L269" s="2" t="n"/>
      <c r="M269" s="2" t="n"/>
      <c r="N269" s="2" t="n"/>
      <c r="O269" s="2" t="n"/>
      <c r="P269" s="2" t="n"/>
      <c r="Q269" s="4">
        <f>IF(OR(A269="",E269=""),"",IF(MAXIFS($E$2:$E$1001,$A$2:$A$1001,A269,$E$2:$E$1001,"&lt;"&amp;E269)=0,"",SUMIFS($G$2:$G$1001,$A$2:$A$1001,A269,$E$2:$E$1001,MAXIFS($E$2:$E$1001,$A$2:$A$1001,A269,$E$2:$E$1001,"&lt;"&amp;E269))))</f>
        <v/>
      </c>
      <c r="R269" s="9">
        <f>IF(OR(Q269="",G269=""),"",G269-Q269)</f>
        <v/>
      </c>
      <c r="S269" s="9">
        <f>IF(R269="","",SUMIFS($R$2:$R$1001,$A$2:$A$1001,A269,$E$2:$E$1001,"&lt;="&amp;E269))</f>
        <v/>
      </c>
      <c r="T269" s="5">
        <f>IF(A269="","",IF(R269="","initial",IF(ABS(R269)&lt;=ShiftThresholdDays,"unchanged",IF(R269&gt;0,"delayed","accelerated"))))</f>
        <v/>
      </c>
    </row>
    <row r="270">
      <c r="A270" s="2" t="n"/>
      <c r="B270" s="2" t="n"/>
      <c r="C270" s="2" t="n"/>
      <c r="D270" s="2" t="n"/>
      <c r="E270" s="2" t="n"/>
      <c r="F270" s="2" t="n"/>
      <c r="G270" s="3" t="n"/>
      <c r="H270" s="2" t="n"/>
      <c r="I270" s="3" t="n"/>
      <c r="J270" s="2" t="n"/>
      <c r="K270" s="2" t="n"/>
      <c r="L270" s="2" t="n"/>
      <c r="M270" s="2" t="n"/>
      <c r="N270" s="2" t="n"/>
      <c r="O270" s="2" t="n"/>
      <c r="P270" s="2" t="n"/>
      <c r="Q270" s="4">
        <f>IF(OR(A270="",E270=""),"",IF(MAXIFS($E$2:$E$1001,$A$2:$A$1001,A270,$E$2:$E$1001,"&lt;"&amp;E270)=0,"",SUMIFS($G$2:$G$1001,$A$2:$A$1001,A270,$E$2:$E$1001,MAXIFS($E$2:$E$1001,$A$2:$A$1001,A270,$E$2:$E$1001,"&lt;"&amp;E270))))</f>
        <v/>
      </c>
      <c r="R270" s="9">
        <f>IF(OR(Q270="",G270=""),"",G270-Q270)</f>
        <v/>
      </c>
      <c r="S270" s="9">
        <f>IF(R270="","",SUMIFS($R$2:$R$1001,$A$2:$A$1001,A270,$E$2:$E$1001,"&lt;="&amp;E270))</f>
        <v/>
      </c>
      <c r="T270" s="5">
        <f>IF(A270="","",IF(R270="","initial",IF(ABS(R270)&lt;=ShiftThresholdDays,"unchanged",IF(R270&gt;0,"delayed","accelerated"))))</f>
        <v/>
      </c>
    </row>
    <row r="271">
      <c r="A271" s="2" t="n"/>
      <c r="B271" s="2" t="n"/>
      <c r="C271" s="2" t="n"/>
      <c r="D271" s="2" t="n"/>
      <c r="E271" s="2" t="n"/>
      <c r="F271" s="2" t="n"/>
      <c r="G271" s="3" t="n"/>
      <c r="H271" s="2" t="n"/>
      <c r="I271" s="3" t="n"/>
      <c r="J271" s="2" t="n"/>
      <c r="K271" s="2" t="n"/>
      <c r="L271" s="2" t="n"/>
      <c r="M271" s="2" t="n"/>
      <c r="N271" s="2" t="n"/>
      <c r="O271" s="2" t="n"/>
      <c r="P271" s="2" t="n"/>
      <c r="Q271" s="4">
        <f>IF(OR(A271="",E271=""),"",IF(MAXIFS($E$2:$E$1001,$A$2:$A$1001,A271,$E$2:$E$1001,"&lt;"&amp;E271)=0,"",SUMIFS($G$2:$G$1001,$A$2:$A$1001,A271,$E$2:$E$1001,MAXIFS($E$2:$E$1001,$A$2:$A$1001,A271,$E$2:$E$1001,"&lt;"&amp;E271))))</f>
        <v/>
      </c>
      <c r="R271" s="9">
        <f>IF(OR(Q271="",G271=""),"",G271-Q271)</f>
        <v/>
      </c>
      <c r="S271" s="9">
        <f>IF(R271="","",SUMIFS($R$2:$R$1001,$A$2:$A$1001,A271,$E$2:$E$1001,"&lt;="&amp;E271))</f>
        <v/>
      </c>
      <c r="T271" s="5">
        <f>IF(A271="","",IF(R271="","initial",IF(ABS(R271)&lt;=ShiftThresholdDays,"unchanged",IF(R271&gt;0,"delayed","accelerated"))))</f>
        <v/>
      </c>
    </row>
    <row r="272">
      <c r="A272" s="2" t="n"/>
      <c r="B272" s="2" t="n"/>
      <c r="C272" s="2" t="n"/>
      <c r="D272" s="2" t="n"/>
      <c r="E272" s="2" t="n"/>
      <c r="F272" s="2" t="n"/>
      <c r="G272" s="3" t="n"/>
      <c r="H272" s="2" t="n"/>
      <c r="I272" s="3" t="n"/>
      <c r="J272" s="2" t="n"/>
      <c r="K272" s="2" t="n"/>
      <c r="L272" s="2" t="n"/>
      <c r="M272" s="2" t="n"/>
      <c r="N272" s="2" t="n"/>
      <c r="O272" s="2" t="n"/>
      <c r="P272" s="2" t="n"/>
      <c r="Q272" s="4">
        <f>IF(OR(A272="",E272=""),"",IF(MAXIFS($E$2:$E$1001,$A$2:$A$1001,A272,$E$2:$E$1001,"&lt;"&amp;E272)=0,"",SUMIFS($G$2:$G$1001,$A$2:$A$1001,A272,$E$2:$E$1001,MAXIFS($E$2:$E$1001,$A$2:$A$1001,A272,$E$2:$E$1001,"&lt;"&amp;E272))))</f>
        <v/>
      </c>
      <c r="R272" s="9">
        <f>IF(OR(Q272="",G272=""),"",G272-Q272)</f>
        <v/>
      </c>
      <c r="S272" s="9">
        <f>IF(R272="","",SUMIFS($R$2:$R$1001,$A$2:$A$1001,A272,$E$2:$E$1001,"&lt;="&amp;E272))</f>
        <v/>
      </c>
      <c r="T272" s="5">
        <f>IF(A272="","",IF(R272="","initial",IF(ABS(R272)&lt;=ShiftThresholdDays,"unchanged",IF(R272&gt;0,"delayed","accelerated"))))</f>
        <v/>
      </c>
    </row>
    <row r="273">
      <c r="A273" s="2" t="n"/>
      <c r="B273" s="2" t="n"/>
      <c r="C273" s="2" t="n"/>
      <c r="D273" s="2" t="n"/>
      <c r="E273" s="2" t="n"/>
      <c r="F273" s="2" t="n"/>
      <c r="G273" s="3" t="n"/>
      <c r="H273" s="2" t="n"/>
      <c r="I273" s="3" t="n"/>
      <c r="J273" s="2" t="n"/>
      <c r="K273" s="2" t="n"/>
      <c r="L273" s="2" t="n"/>
      <c r="M273" s="2" t="n"/>
      <c r="N273" s="2" t="n"/>
      <c r="O273" s="2" t="n"/>
      <c r="P273" s="2" t="n"/>
      <c r="Q273" s="4">
        <f>IF(OR(A273="",E273=""),"",IF(MAXIFS($E$2:$E$1001,$A$2:$A$1001,A273,$E$2:$E$1001,"&lt;"&amp;E273)=0,"",SUMIFS($G$2:$G$1001,$A$2:$A$1001,A273,$E$2:$E$1001,MAXIFS($E$2:$E$1001,$A$2:$A$1001,A273,$E$2:$E$1001,"&lt;"&amp;E273))))</f>
        <v/>
      </c>
      <c r="R273" s="9">
        <f>IF(OR(Q273="",G273=""),"",G273-Q273)</f>
        <v/>
      </c>
      <c r="S273" s="9">
        <f>IF(R273="","",SUMIFS($R$2:$R$1001,$A$2:$A$1001,A273,$E$2:$E$1001,"&lt;="&amp;E273))</f>
        <v/>
      </c>
      <c r="T273" s="5">
        <f>IF(A273="","",IF(R273="","initial",IF(ABS(R273)&lt;=ShiftThresholdDays,"unchanged",IF(R273&gt;0,"delayed","accelerated"))))</f>
        <v/>
      </c>
    </row>
    <row r="274">
      <c r="A274" s="2" t="n"/>
      <c r="B274" s="2" t="n"/>
      <c r="C274" s="2" t="n"/>
      <c r="D274" s="2" t="n"/>
      <c r="E274" s="2" t="n"/>
      <c r="F274" s="2" t="n"/>
      <c r="G274" s="3" t="n"/>
      <c r="H274" s="2" t="n"/>
      <c r="I274" s="3" t="n"/>
      <c r="J274" s="2" t="n"/>
      <c r="K274" s="2" t="n"/>
      <c r="L274" s="2" t="n"/>
      <c r="M274" s="2" t="n"/>
      <c r="N274" s="2" t="n"/>
      <c r="O274" s="2" t="n"/>
      <c r="P274" s="2" t="n"/>
      <c r="Q274" s="4">
        <f>IF(OR(A274="",E274=""),"",IF(MAXIFS($E$2:$E$1001,$A$2:$A$1001,A274,$E$2:$E$1001,"&lt;"&amp;E274)=0,"",SUMIFS($G$2:$G$1001,$A$2:$A$1001,A274,$E$2:$E$1001,MAXIFS($E$2:$E$1001,$A$2:$A$1001,A274,$E$2:$E$1001,"&lt;"&amp;E274))))</f>
        <v/>
      </c>
      <c r="R274" s="9">
        <f>IF(OR(Q274="",G274=""),"",G274-Q274)</f>
        <v/>
      </c>
      <c r="S274" s="9">
        <f>IF(R274="","",SUMIFS($R$2:$R$1001,$A$2:$A$1001,A274,$E$2:$E$1001,"&lt;="&amp;E274))</f>
        <v/>
      </c>
      <c r="T274" s="5">
        <f>IF(A274="","",IF(R274="","initial",IF(ABS(R274)&lt;=ShiftThresholdDays,"unchanged",IF(R274&gt;0,"delayed","accelerated"))))</f>
        <v/>
      </c>
    </row>
    <row r="275">
      <c r="A275" s="2" t="n"/>
      <c r="B275" s="2" t="n"/>
      <c r="C275" s="2" t="n"/>
      <c r="D275" s="2" t="n"/>
      <c r="E275" s="2" t="n"/>
      <c r="F275" s="2" t="n"/>
      <c r="G275" s="3" t="n"/>
      <c r="H275" s="2" t="n"/>
      <c r="I275" s="3" t="n"/>
      <c r="J275" s="2" t="n"/>
      <c r="K275" s="2" t="n"/>
      <c r="L275" s="2" t="n"/>
      <c r="M275" s="2" t="n"/>
      <c r="N275" s="2" t="n"/>
      <c r="O275" s="2" t="n"/>
      <c r="P275" s="2" t="n"/>
      <c r="Q275" s="4">
        <f>IF(OR(A275="",E275=""),"",IF(MAXIFS($E$2:$E$1001,$A$2:$A$1001,A275,$E$2:$E$1001,"&lt;"&amp;E275)=0,"",SUMIFS($G$2:$G$1001,$A$2:$A$1001,A275,$E$2:$E$1001,MAXIFS($E$2:$E$1001,$A$2:$A$1001,A275,$E$2:$E$1001,"&lt;"&amp;E275))))</f>
        <v/>
      </c>
      <c r="R275" s="9">
        <f>IF(OR(Q275="",G275=""),"",G275-Q275)</f>
        <v/>
      </c>
      <c r="S275" s="9">
        <f>IF(R275="","",SUMIFS($R$2:$R$1001,$A$2:$A$1001,A275,$E$2:$E$1001,"&lt;="&amp;E275))</f>
        <v/>
      </c>
      <c r="T275" s="5">
        <f>IF(A275="","",IF(R275="","initial",IF(ABS(R275)&lt;=ShiftThresholdDays,"unchanged",IF(R275&gt;0,"delayed","accelerated"))))</f>
        <v/>
      </c>
    </row>
    <row r="276">
      <c r="A276" s="2" t="n"/>
      <c r="B276" s="2" t="n"/>
      <c r="C276" s="2" t="n"/>
      <c r="D276" s="2" t="n"/>
      <c r="E276" s="2" t="n"/>
      <c r="F276" s="2" t="n"/>
      <c r="G276" s="3" t="n"/>
      <c r="H276" s="2" t="n"/>
      <c r="I276" s="3" t="n"/>
      <c r="J276" s="2" t="n"/>
      <c r="K276" s="2" t="n"/>
      <c r="L276" s="2" t="n"/>
      <c r="M276" s="2" t="n"/>
      <c r="N276" s="2" t="n"/>
      <c r="O276" s="2" t="n"/>
      <c r="P276" s="2" t="n"/>
      <c r="Q276" s="4">
        <f>IF(OR(A276="",E276=""),"",IF(MAXIFS($E$2:$E$1001,$A$2:$A$1001,A276,$E$2:$E$1001,"&lt;"&amp;E276)=0,"",SUMIFS($G$2:$G$1001,$A$2:$A$1001,A276,$E$2:$E$1001,MAXIFS($E$2:$E$1001,$A$2:$A$1001,A276,$E$2:$E$1001,"&lt;"&amp;E276))))</f>
        <v/>
      </c>
      <c r="R276" s="9">
        <f>IF(OR(Q276="",G276=""),"",G276-Q276)</f>
        <v/>
      </c>
      <c r="S276" s="9">
        <f>IF(R276="","",SUMIFS($R$2:$R$1001,$A$2:$A$1001,A276,$E$2:$E$1001,"&lt;="&amp;E276))</f>
        <v/>
      </c>
      <c r="T276" s="5">
        <f>IF(A276="","",IF(R276="","initial",IF(ABS(R276)&lt;=ShiftThresholdDays,"unchanged",IF(R276&gt;0,"delayed","accelerated"))))</f>
        <v/>
      </c>
    </row>
    <row r="277">
      <c r="A277" s="2" t="n"/>
      <c r="B277" s="2" t="n"/>
      <c r="C277" s="2" t="n"/>
      <c r="D277" s="2" t="n"/>
      <c r="E277" s="2" t="n"/>
      <c r="F277" s="2" t="n"/>
      <c r="G277" s="3" t="n"/>
      <c r="H277" s="2" t="n"/>
      <c r="I277" s="3" t="n"/>
      <c r="J277" s="2" t="n"/>
      <c r="K277" s="2" t="n"/>
      <c r="L277" s="2" t="n"/>
      <c r="M277" s="2" t="n"/>
      <c r="N277" s="2" t="n"/>
      <c r="O277" s="2" t="n"/>
      <c r="P277" s="2" t="n"/>
      <c r="Q277" s="4">
        <f>IF(OR(A277="",E277=""),"",IF(MAXIFS($E$2:$E$1001,$A$2:$A$1001,A277,$E$2:$E$1001,"&lt;"&amp;E277)=0,"",SUMIFS($G$2:$G$1001,$A$2:$A$1001,A277,$E$2:$E$1001,MAXIFS($E$2:$E$1001,$A$2:$A$1001,A277,$E$2:$E$1001,"&lt;"&amp;E277))))</f>
        <v/>
      </c>
      <c r="R277" s="9">
        <f>IF(OR(Q277="",G277=""),"",G277-Q277)</f>
        <v/>
      </c>
      <c r="S277" s="9">
        <f>IF(R277="","",SUMIFS($R$2:$R$1001,$A$2:$A$1001,A277,$E$2:$E$1001,"&lt;="&amp;E277))</f>
        <v/>
      </c>
      <c r="T277" s="5">
        <f>IF(A277="","",IF(R277="","initial",IF(ABS(R277)&lt;=ShiftThresholdDays,"unchanged",IF(R277&gt;0,"delayed","accelerated"))))</f>
        <v/>
      </c>
    </row>
    <row r="278">
      <c r="A278" s="2" t="n"/>
      <c r="B278" s="2" t="n"/>
      <c r="C278" s="2" t="n"/>
      <c r="D278" s="2" t="n"/>
      <c r="E278" s="2" t="n"/>
      <c r="F278" s="2" t="n"/>
      <c r="G278" s="3" t="n"/>
      <c r="H278" s="2" t="n"/>
      <c r="I278" s="3" t="n"/>
      <c r="J278" s="2" t="n"/>
      <c r="K278" s="2" t="n"/>
      <c r="L278" s="2" t="n"/>
      <c r="M278" s="2" t="n"/>
      <c r="N278" s="2" t="n"/>
      <c r="O278" s="2" t="n"/>
      <c r="P278" s="2" t="n"/>
      <c r="Q278" s="4">
        <f>IF(OR(A278="",E278=""),"",IF(MAXIFS($E$2:$E$1001,$A$2:$A$1001,A278,$E$2:$E$1001,"&lt;"&amp;E278)=0,"",SUMIFS($G$2:$G$1001,$A$2:$A$1001,A278,$E$2:$E$1001,MAXIFS($E$2:$E$1001,$A$2:$A$1001,A278,$E$2:$E$1001,"&lt;"&amp;E278))))</f>
        <v/>
      </c>
      <c r="R278" s="9">
        <f>IF(OR(Q278="",G278=""),"",G278-Q278)</f>
        <v/>
      </c>
      <c r="S278" s="9">
        <f>IF(R278="","",SUMIFS($R$2:$R$1001,$A$2:$A$1001,A278,$E$2:$E$1001,"&lt;="&amp;E278))</f>
        <v/>
      </c>
      <c r="T278" s="5">
        <f>IF(A278="","",IF(R278="","initial",IF(ABS(R278)&lt;=ShiftThresholdDays,"unchanged",IF(R278&gt;0,"delayed","accelerated"))))</f>
        <v/>
      </c>
    </row>
    <row r="279">
      <c r="A279" s="2" t="n"/>
      <c r="B279" s="2" t="n"/>
      <c r="C279" s="2" t="n"/>
      <c r="D279" s="2" t="n"/>
      <c r="E279" s="2" t="n"/>
      <c r="F279" s="2" t="n"/>
      <c r="G279" s="3" t="n"/>
      <c r="H279" s="2" t="n"/>
      <c r="I279" s="3" t="n"/>
      <c r="J279" s="2" t="n"/>
      <c r="K279" s="2" t="n"/>
      <c r="L279" s="2" t="n"/>
      <c r="M279" s="2" t="n"/>
      <c r="N279" s="2" t="n"/>
      <c r="O279" s="2" t="n"/>
      <c r="P279" s="2" t="n"/>
      <c r="Q279" s="4">
        <f>IF(OR(A279="",E279=""),"",IF(MAXIFS($E$2:$E$1001,$A$2:$A$1001,A279,$E$2:$E$1001,"&lt;"&amp;E279)=0,"",SUMIFS($G$2:$G$1001,$A$2:$A$1001,A279,$E$2:$E$1001,MAXIFS($E$2:$E$1001,$A$2:$A$1001,A279,$E$2:$E$1001,"&lt;"&amp;E279))))</f>
        <v/>
      </c>
      <c r="R279" s="9">
        <f>IF(OR(Q279="",G279=""),"",G279-Q279)</f>
        <v/>
      </c>
      <c r="S279" s="9">
        <f>IF(R279="","",SUMIFS($R$2:$R$1001,$A$2:$A$1001,A279,$E$2:$E$1001,"&lt;="&amp;E279))</f>
        <v/>
      </c>
      <c r="T279" s="5">
        <f>IF(A279="","",IF(R279="","initial",IF(ABS(R279)&lt;=ShiftThresholdDays,"unchanged",IF(R279&gt;0,"delayed","accelerated"))))</f>
        <v/>
      </c>
    </row>
    <row r="280">
      <c r="A280" s="2" t="n"/>
      <c r="B280" s="2" t="n"/>
      <c r="C280" s="2" t="n"/>
      <c r="D280" s="2" t="n"/>
      <c r="E280" s="2" t="n"/>
      <c r="F280" s="2" t="n"/>
      <c r="G280" s="3" t="n"/>
      <c r="H280" s="2" t="n"/>
      <c r="I280" s="3" t="n"/>
      <c r="J280" s="2" t="n"/>
      <c r="K280" s="2" t="n"/>
      <c r="L280" s="2" t="n"/>
      <c r="M280" s="2" t="n"/>
      <c r="N280" s="2" t="n"/>
      <c r="O280" s="2" t="n"/>
      <c r="P280" s="2" t="n"/>
      <c r="Q280" s="4">
        <f>IF(OR(A280="",E280=""),"",IF(MAXIFS($E$2:$E$1001,$A$2:$A$1001,A280,$E$2:$E$1001,"&lt;"&amp;E280)=0,"",SUMIFS($G$2:$G$1001,$A$2:$A$1001,A280,$E$2:$E$1001,MAXIFS($E$2:$E$1001,$A$2:$A$1001,A280,$E$2:$E$1001,"&lt;"&amp;E280))))</f>
        <v/>
      </c>
      <c r="R280" s="9">
        <f>IF(OR(Q280="",G280=""),"",G280-Q280)</f>
        <v/>
      </c>
      <c r="S280" s="9">
        <f>IF(R280="","",SUMIFS($R$2:$R$1001,$A$2:$A$1001,A280,$E$2:$E$1001,"&lt;="&amp;E280))</f>
        <v/>
      </c>
      <c r="T280" s="5">
        <f>IF(A280="","",IF(R280="","initial",IF(ABS(R280)&lt;=ShiftThresholdDays,"unchanged",IF(R280&gt;0,"delayed","accelerated"))))</f>
        <v/>
      </c>
    </row>
    <row r="281">
      <c r="A281" s="2" t="n"/>
      <c r="B281" s="2" t="n"/>
      <c r="C281" s="2" t="n"/>
      <c r="D281" s="2" t="n"/>
      <c r="E281" s="2" t="n"/>
      <c r="F281" s="2" t="n"/>
      <c r="G281" s="3" t="n"/>
      <c r="H281" s="2" t="n"/>
      <c r="I281" s="3" t="n"/>
      <c r="J281" s="2" t="n"/>
      <c r="K281" s="2" t="n"/>
      <c r="L281" s="2" t="n"/>
      <c r="M281" s="2" t="n"/>
      <c r="N281" s="2" t="n"/>
      <c r="O281" s="2" t="n"/>
      <c r="P281" s="2" t="n"/>
      <c r="Q281" s="4">
        <f>IF(OR(A281="",E281=""),"",IF(MAXIFS($E$2:$E$1001,$A$2:$A$1001,A281,$E$2:$E$1001,"&lt;"&amp;E281)=0,"",SUMIFS($G$2:$G$1001,$A$2:$A$1001,A281,$E$2:$E$1001,MAXIFS($E$2:$E$1001,$A$2:$A$1001,A281,$E$2:$E$1001,"&lt;"&amp;E281))))</f>
        <v/>
      </c>
      <c r="R281" s="9">
        <f>IF(OR(Q281="",G281=""),"",G281-Q281)</f>
        <v/>
      </c>
      <c r="S281" s="9">
        <f>IF(R281="","",SUMIFS($R$2:$R$1001,$A$2:$A$1001,A281,$E$2:$E$1001,"&lt;="&amp;E281))</f>
        <v/>
      </c>
      <c r="T281" s="5">
        <f>IF(A281="","",IF(R281="","initial",IF(ABS(R281)&lt;=ShiftThresholdDays,"unchanged",IF(R281&gt;0,"delayed","accelerated"))))</f>
        <v/>
      </c>
    </row>
    <row r="282">
      <c r="A282" s="2" t="n"/>
      <c r="B282" s="2" t="n"/>
      <c r="C282" s="2" t="n"/>
      <c r="D282" s="2" t="n"/>
      <c r="E282" s="2" t="n"/>
      <c r="F282" s="2" t="n"/>
      <c r="G282" s="3" t="n"/>
      <c r="H282" s="2" t="n"/>
      <c r="I282" s="3" t="n"/>
      <c r="J282" s="2" t="n"/>
      <c r="K282" s="2" t="n"/>
      <c r="L282" s="2" t="n"/>
      <c r="M282" s="2" t="n"/>
      <c r="N282" s="2" t="n"/>
      <c r="O282" s="2" t="n"/>
      <c r="P282" s="2" t="n"/>
      <c r="Q282" s="4">
        <f>IF(OR(A282="",E282=""),"",IF(MAXIFS($E$2:$E$1001,$A$2:$A$1001,A282,$E$2:$E$1001,"&lt;"&amp;E282)=0,"",SUMIFS($G$2:$G$1001,$A$2:$A$1001,A282,$E$2:$E$1001,MAXIFS($E$2:$E$1001,$A$2:$A$1001,A282,$E$2:$E$1001,"&lt;"&amp;E282))))</f>
        <v/>
      </c>
      <c r="R282" s="9">
        <f>IF(OR(Q282="",G282=""),"",G282-Q282)</f>
        <v/>
      </c>
      <c r="S282" s="9">
        <f>IF(R282="","",SUMIFS($R$2:$R$1001,$A$2:$A$1001,A282,$E$2:$E$1001,"&lt;="&amp;E282))</f>
        <v/>
      </c>
      <c r="T282" s="5">
        <f>IF(A282="","",IF(R282="","initial",IF(ABS(R282)&lt;=ShiftThresholdDays,"unchanged",IF(R282&gt;0,"delayed","accelerated"))))</f>
        <v/>
      </c>
    </row>
    <row r="283">
      <c r="A283" s="2" t="n"/>
      <c r="B283" s="2" t="n"/>
      <c r="C283" s="2" t="n"/>
      <c r="D283" s="2" t="n"/>
      <c r="E283" s="2" t="n"/>
      <c r="F283" s="2" t="n"/>
      <c r="G283" s="3" t="n"/>
      <c r="H283" s="2" t="n"/>
      <c r="I283" s="3" t="n"/>
      <c r="J283" s="2" t="n"/>
      <c r="K283" s="2" t="n"/>
      <c r="L283" s="2" t="n"/>
      <c r="M283" s="2" t="n"/>
      <c r="N283" s="2" t="n"/>
      <c r="O283" s="2" t="n"/>
      <c r="P283" s="2" t="n"/>
      <c r="Q283" s="4">
        <f>IF(OR(A283="",E283=""),"",IF(MAXIFS($E$2:$E$1001,$A$2:$A$1001,A283,$E$2:$E$1001,"&lt;"&amp;E283)=0,"",SUMIFS($G$2:$G$1001,$A$2:$A$1001,A283,$E$2:$E$1001,MAXIFS($E$2:$E$1001,$A$2:$A$1001,A283,$E$2:$E$1001,"&lt;"&amp;E283))))</f>
        <v/>
      </c>
      <c r="R283" s="9">
        <f>IF(OR(Q283="",G283=""),"",G283-Q283)</f>
        <v/>
      </c>
      <c r="S283" s="9">
        <f>IF(R283="","",SUMIFS($R$2:$R$1001,$A$2:$A$1001,A283,$E$2:$E$1001,"&lt;="&amp;E283))</f>
        <v/>
      </c>
      <c r="T283" s="5">
        <f>IF(A283="","",IF(R283="","initial",IF(ABS(R283)&lt;=ShiftThresholdDays,"unchanged",IF(R283&gt;0,"delayed","accelerated"))))</f>
        <v/>
      </c>
    </row>
    <row r="284">
      <c r="A284" s="2" t="n"/>
      <c r="B284" s="2" t="n"/>
      <c r="C284" s="2" t="n"/>
      <c r="D284" s="2" t="n"/>
      <c r="E284" s="2" t="n"/>
      <c r="F284" s="2" t="n"/>
      <c r="G284" s="3" t="n"/>
      <c r="H284" s="2" t="n"/>
      <c r="I284" s="3" t="n"/>
      <c r="J284" s="2" t="n"/>
      <c r="K284" s="2" t="n"/>
      <c r="L284" s="2" t="n"/>
      <c r="M284" s="2" t="n"/>
      <c r="N284" s="2" t="n"/>
      <c r="O284" s="2" t="n"/>
      <c r="P284" s="2" t="n"/>
      <c r="Q284" s="4">
        <f>IF(OR(A284="",E284=""),"",IF(MAXIFS($E$2:$E$1001,$A$2:$A$1001,A284,$E$2:$E$1001,"&lt;"&amp;E284)=0,"",SUMIFS($G$2:$G$1001,$A$2:$A$1001,A284,$E$2:$E$1001,MAXIFS($E$2:$E$1001,$A$2:$A$1001,A284,$E$2:$E$1001,"&lt;"&amp;E284))))</f>
        <v/>
      </c>
      <c r="R284" s="9">
        <f>IF(OR(Q284="",G284=""),"",G284-Q284)</f>
        <v/>
      </c>
      <c r="S284" s="9">
        <f>IF(R284="","",SUMIFS($R$2:$R$1001,$A$2:$A$1001,A284,$E$2:$E$1001,"&lt;="&amp;E284))</f>
        <v/>
      </c>
      <c r="T284" s="5">
        <f>IF(A284="","",IF(R284="","initial",IF(ABS(R284)&lt;=ShiftThresholdDays,"unchanged",IF(R284&gt;0,"delayed","accelerated"))))</f>
        <v/>
      </c>
    </row>
    <row r="285">
      <c r="A285" s="2" t="n"/>
      <c r="B285" s="2" t="n"/>
      <c r="C285" s="2" t="n"/>
      <c r="D285" s="2" t="n"/>
      <c r="E285" s="2" t="n"/>
      <c r="F285" s="2" t="n"/>
      <c r="G285" s="3" t="n"/>
      <c r="H285" s="2" t="n"/>
      <c r="I285" s="3" t="n"/>
      <c r="J285" s="2" t="n"/>
      <c r="K285" s="2" t="n"/>
      <c r="L285" s="2" t="n"/>
      <c r="M285" s="2" t="n"/>
      <c r="N285" s="2" t="n"/>
      <c r="O285" s="2" t="n"/>
      <c r="P285" s="2" t="n"/>
      <c r="Q285" s="4">
        <f>IF(OR(A285="",E285=""),"",IF(MAXIFS($E$2:$E$1001,$A$2:$A$1001,A285,$E$2:$E$1001,"&lt;"&amp;E285)=0,"",SUMIFS($G$2:$G$1001,$A$2:$A$1001,A285,$E$2:$E$1001,MAXIFS($E$2:$E$1001,$A$2:$A$1001,A285,$E$2:$E$1001,"&lt;"&amp;E285))))</f>
        <v/>
      </c>
      <c r="R285" s="9">
        <f>IF(OR(Q285="",G285=""),"",G285-Q285)</f>
        <v/>
      </c>
      <c r="S285" s="9">
        <f>IF(R285="","",SUMIFS($R$2:$R$1001,$A$2:$A$1001,A285,$E$2:$E$1001,"&lt;="&amp;E285))</f>
        <v/>
      </c>
      <c r="T285" s="5">
        <f>IF(A285="","",IF(R285="","initial",IF(ABS(R285)&lt;=ShiftThresholdDays,"unchanged",IF(R285&gt;0,"delayed","accelerated"))))</f>
        <v/>
      </c>
    </row>
    <row r="286">
      <c r="A286" s="2" t="n"/>
      <c r="B286" s="2" t="n"/>
      <c r="C286" s="2" t="n"/>
      <c r="D286" s="2" t="n"/>
      <c r="E286" s="2" t="n"/>
      <c r="F286" s="2" t="n"/>
      <c r="G286" s="3" t="n"/>
      <c r="H286" s="2" t="n"/>
      <c r="I286" s="3" t="n"/>
      <c r="J286" s="2" t="n"/>
      <c r="K286" s="2" t="n"/>
      <c r="L286" s="2" t="n"/>
      <c r="M286" s="2" t="n"/>
      <c r="N286" s="2" t="n"/>
      <c r="O286" s="2" t="n"/>
      <c r="P286" s="2" t="n"/>
      <c r="Q286" s="4">
        <f>IF(OR(A286="",E286=""),"",IF(MAXIFS($E$2:$E$1001,$A$2:$A$1001,A286,$E$2:$E$1001,"&lt;"&amp;E286)=0,"",SUMIFS($G$2:$G$1001,$A$2:$A$1001,A286,$E$2:$E$1001,MAXIFS($E$2:$E$1001,$A$2:$A$1001,A286,$E$2:$E$1001,"&lt;"&amp;E286))))</f>
        <v/>
      </c>
      <c r="R286" s="9">
        <f>IF(OR(Q286="",G286=""),"",G286-Q286)</f>
        <v/>
      </c>
      <c r="S286" s="9">
        <f>IF(R286="","",SUMIFS($R$2:$R$1001,$A$2:$A$1001,A286,$E$2:$E$1001,"&lt;="&amp;E286))</f>
        <v/>
      </c>
      <c r="T286" s="5">
        <f>IF(A286="","",IF(R286="","initial",IF(ABS(R286)&lt;=ShiftThresholdDays,"unchanged",IF(R286&gt;0,"delayed","accelerated"))))</f>
        <v/>
      </c>
    </row>
    <row r="287">
      <c r="A287" s="2" t="n"/>
      <c r="B287" s="2" t="n"/>
      <c r="C287" s="2" t="n"/>
      <c r="D287" s="2" t="n"/>
      <c r="E287" s="2" t="n"/>
      <c r="F287" s="2" t="n"/>
      <c r="G287" s="3" t="n"/>
      <c r="H287" s="2" t="n"/>
      <c r="I287" s="3" t="n"/>
      <c r="J287" s="2" t="n"/>
      <c r="K287" s="2" t="n"/>
      <c r="L287" s="2" t="n"/>
      <c r="M287" s="2" t="n"/>
      <c r="N287" s="2" t="n"/>
      <c r="O287" s="2" t="n"/>
      <c r="P287" s="2" t="n"/>
      <c r="Q287" s="4">
        <f>IF(OR(A287="",E287=""),"",IF(MAXIFS($E$2:$E$1001,$A$2:$A$1001,A287,$E$2:$E$1001,"&lt;"&amp;E287)=0,"",SUMIFS($G$2:$G$1001,$A$2:$A$1001,A287,$E$2:$E$1001,MAXIFS($E$2:$E$1001,$A$2:$A$1001,A287,$E$2:$E$1001,"&lt;"&amp;E287))))</f>
        <v/>
      </c>
      <c r="R287" s="9">
        <f>IF(OR(Q287="",G287=""),"",G287-Q287)</f>
        <v/>
      </c>
      <c r="S287" s="9">
        <f>IF(R287="","",SUMIFS($R$2:$R$1001,$A$2:$A$1001,A287,$E$2:$E$1001,"&lt;="&amp;E287))</f>
        <v/>
      </c>
      <c r="T287" s="5">
        <f>IF(A287="","",IF(R287="","initial",IF(ABS(R287)&lt;=ShiftThresholdDays,"unchanged",IF(R287&gt;0,"delayed","accelerated"))))</f>
        <v/>
      </c>
    </row>
    <row r="288">
      <c r="A288" s="2" t="n"/>
      <c r="B288" s="2" t="n"/>
      <c r="C288" s="2" t="n"/>
      <c r="D288" s="2" t="n"/>
      <c r="E288" s="2" t="n"/>
      <c r="F288" s="2" t="n"/>
      <c r="G288" s="3" t="n"/>
      <c r="H288" s="2" t="n"/>
      <c r="I288" s="3" t="n"/>
      <c r="J288" s="2" t="n"/>
      <c r="K288" s="2" t="n"/>
      <c r="L288" s="2" t="n"/>
      <c r="M288" s="2" t="n"/>
      <c r="N288" s="2" t="n"/>
      <c r="O288" s="2" t="n"/>
      <c r="P288" s="2" t="n"/>
      <c r="Q288" s="4">
        <f>IF(OR(A288="",E288=""),"",IF(MAXIFS($E$2:$E$1001,$A$2:$A$1001,A288,$E$2:$E$1001,"&lt;"&amp;E288)=0,"",SUMIFS($G$2:$G$1001,$A$2:$A$1001,A288,$E$2:$E$1001,MAXIFS($E$2:$E$1001,$A$2:$A$1001,A288,$E$2:$E$1001,"&lt;"&amp;E288))))</f>
        <v/>
      </c>
      <c r="R288" s="9">
        <f>IF(OR(Q288="",G288=""),"",G288-Q288)</f>
        <v/>
      </c>
      <c r="S288" s="9">
        <f>IF(R288="","",SUMIFS($R$2:$R$1001,$A$2:$A$1001,A288,$E$2:$E$1001,"&lt;="&amp;E288))</f>
        <v/>
      </c>
      <c r="T288" s="5">
        <f>IF(A288="","",IF(R288="","initial",IF(ABS(R288)&lt;=ShiftThresholdDays,"unchanged",IF(R288&gt;0,"delayed","accelerated"))))</f>
        <v/>
      </c>
    </row>
    <row r="289">
      <c r="A289" s="2" t="n"/>
      <c r="B289" s="2" t="n"/>
      <c r="C289" s="2" t="n"/>
      <c r="D289" s="2" t="n"/>
      <c r="E289" s="2" t="n"/>
      <c r="F289" s="2" t="n"/>
      <c r="G289" s="3" t="n"/>
      <c r="H289" s="2" t="n"/>
      <c r="I289" s="3" t="n"/>
      <c r="J289" s="2" t="n"/>
      <c r="K289" s="2" t="n"/>
      <c r="L289" s="2" t="n"/>
      <c r="M289" s="2" t="n"/>
      <c r="N289" s="2" t="n"/>
      <c r="O289" s="2" t="n"/>
      <c r="P289" s="2" t="n"/>
      <c r="Q289" s="4">
        <f>IF(OR(A289="",E289=""),"",IF(MAXIFS($E$2:$E$1001,$A$2:$A$1001,A289,$E$2:$E$1001,"&lt;"&amp;E289)=0,"",SUMIFS($G$2:$G$1001,$A$2:$A$1001,A289,$E$2:$E$1001,MAXIFS($E$2:$E$1001,$A$2:$A$1001,A289,$E$2:$E$1001,"&lt;"&amp;E289))))</f>
        <v/>
      </c>
      <c r="R289" s="9">
        <f>IF(OR(Q289="",G289=""),"",G289-Q289)</f>
        <v/>
      </c>
      <c r="S289" s="9">
        <f>IF(R289="","",SUMIFS($R$2:$R$1001,$A$2:$A$1001,A289,$E$2:$E$1001,"&lt;="&amp;E289))</f>
        <v/>
      </c>
      <c r="T289" s="5">
        <f>IF(A289="","",IF(R289="","initial",IF(ABS(R289)&lt;=ShiftThresholdDays,"unchanged",IF(R289&gt;0,"delayed","accelerated"))))</f>
        <v/>
      </c>
    </row>
    <row r="290">
      <c r="A290" s="2" t="n"/>
      <c r="B290" s="2" t="n"/>
      <c r="C290" s="2" t="n"/>
      <c r="D290" s="2" t="n"/>
      <c r="E290" s="2" t="n"/>
      <c r="F290" s="2" t="n"/>
      <c r="G290" s="3" t="n"/>
      <c r="H290" s="2" t="n"/>
      <c r="I290" s="3" t="n"/>
      <c r="J290" s="2" t="n"/>
      <c r="K290" s="2" t="n"/>
      <c r="L290" s="2" t="n"/>
      <c r="M290" s="2" t="n"/>
      <c r="N290" s="2" t="n"/>
      <c r="O290" s="2" t="n"/>
      <c r="P290" s="2" t="n"/>
      <c r="Q290" s="4">
        <f>IF(OR(A290="",E290=""),"",IF(MAXIFS($E$2:$E$1001,$A$2:$A$1001,A290,$E$2:$E$1001,"&lt;"&amp;E290)=0,"",SUMIFS($G$2:$G$1001,$A$2:$A$1001,A290,$E$2:$E$1001,MAXIFS($E$2:$E$1001,$A$2:$A$1001,A290,$E$2:$E$1001,"&lt;"&amp;E290))))</f>
        <v/>
      </c>
      <c r="R290" s="9">
        <f>IF(OR(Q290="",G290=""),"",G290-Q290)</f>
        <v/>
      </c>
      <c r="S290" s="9">
        <f>IF(R290="","",SUMIFS($R$2:$R$1001,$A$2:$A$1001,A290,$E$2:$E$1001,"&lt;="&amp;E290))</f>
        <v/>
      </c>
      <c r="T290" s="5">
        <f>IF(A290="","",IF(R290="","initial",IF(ABS(R290)&lt;=ShiftThresholdDays,"unchanged",IF(R290&gt;0,"delayed","accelerated"))))</f>
        <v/>
      </c>
    </row>
    <row r="291">
      <c r="A291" s="2" t="n"/>
      <c r="B291" s="2" t="n"/>
      <c r="C291" s="2" t="n"/>
      <c r="D291" s="2" t="n"/>
      <c r="E291" s="2" t="n"/>
      <c r="F291" s="2" t="n"/>
      <c r="G291" s="3" t="n"/>
      <c r="H291" s="2" t="n"/>
      <c r="I291" s="3" t="n"/>
      <c r="J291" s="2" t="n"/>
      <c r="K291" s="2" t="n"/>
      <c r="L291" s="2" t="n"/>
      <c r="M291" s="2" t="n"/>
      <c r="N291" s="2" t="n"/>
      <c r="O291" s="2" t="n"/>
      <c r="P291" s="2" t="n"/>
      <c r="Q291" s="4">
        <f>IF(OR(A291="",E291=""),"",IF(MAXIFS($E$2:$E$1001,$A$2:$A$1001,A291,$E$2:$E$1001,"&lt;"&amp;E291)=0,"",SUMIFS($G$2:$G$1001,$A$2:$A$1001,A291,$E$2:$E$1001,MAXIFS($E$2:$E$1001,$A$2:$A$1001,A291,$E$2:$E$1001,"&lt;"&amp;E291))))</f>
        <v/>
      </c>
      <c r="R291" s="9">
        <f>IF(OR(Q291="",G291=""),"",G291-Q291)</f>
        <v/>
      </c>
      <c r="S291" s="9">
        <f>IF(R291="","",SUMIFS($R$2:$R$1001,$A$2:$A$1001,A291,$E$2:$E$1001,"&lt;="&amp;E291))</f>
        <v/>
      </c>
      <c r="T291" s="5">
        <f>IF(A291="","",IF(R291="","initial",IF(ABS(R291)&lt;=ShiftThresholdDays,"unchanged",IF(R291&gt;0,"delayed","accelerated"))))</f>
        <v/>
      </c>
    </row>
    <row r="292">
      <c r="A292" s="2" t="n"/>
      <c r="B292" s="2" t="n"/>
      <c r="C292" s="2" t="n"/>
      <c r="D292" s="2" t="n"/>
      <c r="E292" s="2" t="n"/>
      <c r="F292" s="2" t="n"/>
      <c r="G292" s="3" t="n"/>
      <c r="H292" s="2" t="n"/>
      <c r="I292" s="3" t="n"/>
      <c r="J292" s="2" t="n"/>
      <c r="K292" s="2" t="n"/>
      <c r="L292" s="2" t="n"/>
      <c r="M292" s="2" t="n"/>
      <c r="N292" s="2" t="n"/>
      <c r="O292" s="2" t="n"/>
      <c r="P292" s="2" t="n"/>
      <c r="Q292" s="4">
        <f>IF(OR(A292="",E292=""),"",IF(MAXIFS($E$2:$E$1001,$A$2:$A$1001,A292,$E$2:$E$1001,"&lt;"&amp;E292)=0,"",SUMIFS($G$2:$G$1001,$A$2:$A$1001,A292,$E$2:$E$1001,MAXIFS($E$2:$E$1001,$A$2:$A$1001,A292,$E$2:$E$1001,"&lt;"&amp;E292))))</f>
        <v/>
      </c>
      <c r="R292" s="9">
        <f>IF(OR(Q292="",G292=""),"",G292-Q292)</f>
        <v/>
      </c>
      <c r="S292" s="9">
        <f>IF(R292="","",SUMIFS($R$2:$R$1001,$A$2:$A$1001,A292,$E$2:$E$1001,"&lt;="&amp;E292))</f>
        <v/>
      </c>
      <c r="T292" s="5">
        <f>IF(A292="","",IF(R292="","initial",IF(ABS(R292)&lt;=ShiftThresholdDays,"unchanged",IF(R292&gt;0,"delayed","accelerated"))))</f>
        <v/>
      </c>
    </row>
    <row r="293">
      <c r="A293" s="2" t="n"/>
      <c r="B293" s="2" t="n"/>
      <c r="C293" s="2" t="n"/>
      <c r="D293" s="2" t="n"/>
      <c r="E293" s="2" t="n"/>
      <c r="F293" s="2" t="n"/>
      <c r="G293" s="3" t="n"/>
      <c r="H293" s="2" t="n"/>
      <c r="I293" s="3" t="n"/>
      <c r="J293" s="2" t="n"/>
      <c r="K293" s="2" t="n"/>
      <c r="L293" s="2" t="n"/>
      <c r="M293" s="2" t="n"/>
      <c r="N293" s="2" t="n"/>
      <c r="O293" s="2" t="n"/>
      <c r="P293" s="2" t="n"/>
      <c r="Q293" s="4">
        <f>IF(OR(A293="",E293=""),"",IF(MAXIFS($E$2:$E$1001,$A$2:$A$1001,A293,$E$2:$E$1001,"&lt;"&amp;E293)=0,"",SUMIFS($G$2:$G$1001,$A$2:$A$1001,A293,$E$2:$E$1001,MAXIFS($E$2:$E$1001,$A$2:$A$1001,A293,$E$2:$E$1001,"&lt;"&amp;E293))))</f>
        <v/>
      </c>
      <c r="R293" s="9">
        <f>IF(OR(Q293="",G293=""),"",G293-Q293)</f>
        <v/>
      </c>
      <c r="S293" s="9">
        <f>IF(R293="","",SUMIFS($R$2:$R$1001,$A$2:$A$1001,A293,$E$2:$E$1001,"&lt;="&amp;E293))</f>
        <v/>
      </c>
      <c r="T293" s="5">
        <f>IF(A293="","",IF(R293="","initial",IF(ABS(R293)&lt;=ShiftThresholdDays,"unchanged",IF(R293&gt;0,"delayed","accelerated"))))</f>
        <v/>
      </c>
    </row>
    <row r="294">
      <c r="A294" s="2" t="n"/>
      <c r="B294" s="2" t="n"/>
      <c r="C294" s="2" t="n"/>
      <c r="D294" s="2" t="n"/>
      <c r="E294" s="2" t="n"/>
      <c r="F294" s="2" t="n"/>
      <c r="G294" s="3" t="n"/>
      <c r="H294" s="2" t="n"/>
      <c r="I294" s="3" t="n"/>
      <c r="J294" s="2" t="n"/>
      <c r="K294" s="2" t="n"/>
      <c r="L294" s="2" t="n"/>
      <c r="M294" s="2" t="n"/>
      <c r="N294" s="2" t="n"/>
      <c r="O294" s="2" t="n"/>
      <c r="P294" s="2" t="n"/>
      <c r="Q294" s="4">
        <f>IF(OR(A294="",E294=""),"",IF(MAXIFS($E$2:$E$1001,$A$2:$A$1001,A294,$E$2:$E$1001,"&lt;"&amp;E294)=0,"",SUMIFS($G$2:$G$1001,$A$2:$A$1001,A294,$E$2:$E$1001,MAXIFS($E$2:$E$1001,$A$2:$A$1001,A294,$E$2:$E$1001,"&lt;"&amp;E294))))</f>
        <v/>
      </c>
      <c r="R294" s="9">
        <f>IF(OR(Q294="",G294=""),"",G294-Q294)</f>
        <v/>
      </c>
      <c r="S294" s="9">
        <f>IF(R294="","",SUMIFS($R$2:$R$1001,$A$2:$A$1001,A294,$E$2:$E$1001,"&lt;="&amp;E294))</f>
        <v/>
      </c>
      <c r="T294" s="5">
        <f>IF(A294="","",IF(R294="","initial",IF(ABS(R294)&lt;=ShiftThresholdDays,"unchanged",IF(R294&gt;0,"delayed","accelerated"))))</f>
        <v/>
      </c>
    </row>
    <row r="295">
      <c r="A295" s="2" t="n"/>
      <c r="B295" s="2" t="n"/>
      <c r="C295" s="2" t="n"/>
      <c r="D295" s="2" t="n"/>
      <c r="E295" s="2" t="n"/>
      <c r="F295" s="2" t="n"/>
      <c r="G295" s="3" t="n"/>
      <c r="H295" s="2" t="n"/>
      <c r="I295" s="3" t="n"/>
      <c r="J295" s="2" t="n"/>
      <c r="K295" s="2" t="n"/>
      <c r="L295" s="2" t="n"/>
      <c r="M295" s="2" t="n"/>
      <c r="N295" s="2" t="n"/>
      <c r="O295" s="2" t="n"/>
      <c r="P295" s="2" t="n"/>
      <c r="Q295" s="4">
        <f>IF(OR(A295="",E295=""),"",IF(MAXIFS($E$2:$E$1001,$A$2:$A$1001,A295,$E$2:$E$1001,"&lt;"&amp;E295)=0,"",SUMIFS($G$2:$G$1001,$A$2:$A$1001,A295,$E$2:$E$1001,MAXIFS($E$2:$E$1001,$A$2:$A$1001,A295,$E$2:$E$1001,"&lt;"&amp;E295))))</f>
        <v/>
      </c>
      <c r="R295" s="9">
        <f>IF(OR(Q295="",G295=""),"",G295-Q295)</f>
        <v/>
      </c>
      <c r="S295" s="9">
        <f>IF(R295="","",SUMIFS($R$2:$R$1001,$A$2:$A$1001,A295,$E$2:$E$1001,"&lt;="&amp;E295))</f>
        <v/>
      </c>
      <c r="T295" s="5">
        <f>IF(A295="","",IF(R295="","initial",IF(ABS(R295)&lt;=ShiftThresholdDays,"unchanged",IF(R295&gt;0,"delayed","accelerated"))))</f>
        <v/>
      </c>
    </row>
    <row r="296">
      <c r="A296" s="2" t="n"/>
      <c r="B296" s="2" t="n"/>
      <c r="C296" s="2" t="n"/>
      <c r="D296" s="2" t="n"/>
      <c r="E296" s="2" t="n"/>
      <c r="F296" s="2" t="n"/>
      <c r="G296" s="3" t="n"/>
      <c r="H296" s="2" t="n"/>
      <c r="I296" s="3" t="n"/>
      <c r="J296" s="2" t="n"/>
      <c r="K296" s="2" t="n"/>
      <c r="L296" s="2" t="n"/>
      <c r="M296" s="2" t="n"/>
      <c r="N296" s="2" t="n"/>
      <c r="O296" s="2" t="n"/>
      <c r="P296" s="2" t="n"/>
      <c r="Q296" s="4">
        <f>IF(OR(A296="",E296=""),"",IF(MAXIFS($E$2:$E$1001,$A$2:$A$1001,A296,$E$2:$E$1001,"&lt;"&amp;E296)=0,"",SUMIFS($G$2:$G$1001,$A$2:$A$1001,A296,$E$2:$E$1001,MAXIFS($E$2:$E$1001,$A$2:$A$1001,A296,$E$2:$E$1001,"&lt;"&amp;E296))))</f>
        <v/>
      </c>
      <c r="R296" s="9">
        <f>IF(OR(Q296="",G296=""),"",G296-Q296)</f>
        <v/>
      </c>
      <c r="S296" s="9">
        <f>IF(R296="","",SUMIFS($R$2:$R$1001,$A$2:$A$1001,A296,$E$2:$E$1001,"&lt;="&amp;E296))</f>
        <v/>
      </c>
      <c r="T296" s="5">
        <f>IF(A296="","",IF(R296="","initial",IF(ABS(R296)&lt;=ShiftThresholdDays,"unchanged",IF(R296&gt;0,"delayed","accelerated"))))</f>
        <v/>
      </c>
    </row>
    <row r="297">
      <c r="A297" s="2" t="n"/>
      <c r="B297" s="2" t="n"/>
      <c r="C297" s="2" t="n"/>
      <c r="D297" s="2" t="n"/>
      <c r="E297" s="2" t="n"/>
      <c r="F297" s="2" t="n"/>
      <c r="G297" s="3" t="n"/>
      <c r="H297" s="2" t="n"/>
      <c r="I297" s="3" t="n"/>
      <c r="J297" s="2" t="n"/>
      <c r="K297" s="2" t="n"/>
      <c r="L297" s="2" t="n"/>
      <c r="M297" s="2" t="n"/>
      <c r="N297" s="2" t="n"/>
      <c r="O297" s="2" t="n"/>
      <c r="P297" s="2" t="n"/>
      <c r="Q297" s="4">
        <f>IF(OR(A297="",E297=""),"",IF(MAXIFS($E$2:$E$1001,$A$2:$A$1001,A297,$E$2:$E$1001,"&lt;"&amp;E297)=0,"",SUMIFS($G$2:$G$1001,$A$2:$A$1001,A297,$E$2:$E$1001,MAXIFS($E$2:$E$1001,$A$2:$A$1001,A297,$E$2:$E$1001,"&lt;"&amp;E297))))</f>
        <v/>
      </c>
      <c r="R297" s="9">
        <f>IF(OR(Q297="",G297=""),"",G297-Q297)</f>
        <v/>
      </c>
      <c r="S297" s="9">
        <f>IF(R297="","",SUMIFS($R$2:$R$1001,$A$2:$A$1001,A297,$E$2:$E$1001,"&lt;="&amp;E297))</f>
        <v/>
      </c>
      <c r="T297" s="5">
        <f>IF(A297="","",IF(R297="","initial",IF(ABS(R297)&lt;=ShiftThresholdDays,"unchanged",IF(R297&gt;0,"delayed","accelerated"))))</f>
        <v/>
      </c>
    </row>
    <row r="298">
      <c r="A298" s="2" t="n"/>
      <c r="B298" s="2" t="n"/>
      <c r="C298" s="2" t="n"/>
      <c r="D298" s="2" t="n"/>
      <c r="E298" s="2" t="n"/>
      <c r="F298" s="2" t="n"/>
      <c r="G298" s="3" t="n"/>
      <c r="H298" s="2" t="n"/>
      <c r="I298" s="3" t="n"/>
      <c r="J298" s="2" t="n"/>
      <c r="K298" s="2" t="n"/>
      <c r="L298" s="2" t="n"/>
      <c r="M298" s="2" t="n"/>
      <c r="N298" s="2" t="n"/>
      <c r="O298" s="2" t="n"/>
      <c r="P298" s="2" t="n"/>
      <c r="Q298" s="4">
        <f>IF(OR(A298="",E298=""),"",IF(MAXIFS($E$2:$E$1001,$A$2:$A$1001,A298,$E$2:$E$1001,"&lt;"&amp;E298)=0,"",SUMIFS($G$2:$G$1001,$A$2:$A$1001,A298,$E$2:$E$1001,MAXIFS($E$2:$E$1001,$A$2:$A$1001,A298,$E$2:$E$1001,"&lt;"&amp;E298))))</f>
        <v/>
      </c>
      <c r="R298" s="9">
        <f>IF(OR(Q298="",G298=""),"",G298-Q298)</f>
        <v/>
      </c>
      <c r="S298" s="9">
        <f>IF(R298="","",SUMIFS($R$2:$R$1001,$A$2:$A$1001,A298,$E$2:$E$1001,"&lt;="&amp;E298))</f>
        <v/>
      </c>
      <c r="T298" s="5">
        <f>IF(A298="","",IF(R298="","initial",IF(ABS(R298)&lt;=ShiftThresholdDays,"unchanged",IF(R298&gt;0,"delayed","accelerated"))))</f>
        <v/>
      </c>
    </row>
    <row r="299">
      <c r="A299" s="2" t="n"/>
      <c r="B299" s="2" t="n"/>
      <c r="C299" s="2" t="n"/>
      <c r="D299" s="2" t="n"/>
      <c r="E299" s="2" t="n"/>
      <c r="F299" s="2" t="n"/>
      <c r="G299" s="3" t="n"/>
      <c r="H299" s="2" t="n"/>
      <c r="I299" s="3" t="n"/>
      <c r="J299" s="2" t="n"/>
      <c r="K299" s="2" t="n"/>
      <c r="L299" s="2" t="n"/>
      <c r="M299" s="2" t="n"/>
      <c r="N299" s="2" t="n"/>
      <c r="O299" s="2" t="n"/>
      <c r="P299" s="2" t="n"/>
      <c r="Q299" s="4">
        <f>IF(OR(A299="",E299=""),"",IF(MAXIFS($E$2:$E$1001,$A$2:$A$1001,A299,$E$2:$E$1001,"&lt;"&amp;E299)=0,"",SUMIFS($G$2:$G$1001,$A$2:$A$1001,A299,$E$2:$E$1001,MAXIFS($E$2:$E$1001,$A$2:$A$1001,A299,$E$2:$E$1001,"&lt;"&amp;E299))))</f>
        <v/>
      </c>
      <c r="R299" s="9">
        <f>IF(OR(Q299="",G299=""),"",G299-Q299)</f>
        <v/>
      </c>
      <c r="S299" s="9">
        <f>IF(R299="","",SUMIFS($R$2:$R$1001,$A$2:$A$1001,A299,$E$2:$E$1001,"&lt;="&amp;E299))</f>
        <v/>
      </c>
      <c r="T299" s="5">
        <f>IF(A299="","",IF(R299="","initial",IF(ABS(R299)&lt;=ShiftThresholdDays,"unchanged",IF(R299&gt;0,"delayed","accelerated"))))</f>
        <v/>
      </c>
    </row>
    <row r="300">
      <c r="A300" s="2" t="n"/>
      <c r="B300" s="2" t="n"/>
      <c r="C300" s="2" t="n"/>
      <c r="D300" s="2" t="n"/>
      <c r="E300" s="2" t="n"/>
      <c r="F300" s="2" t="n"/>
      <c r="G300" s="3" t="n"/>
      <c r="H300" s="2" t="n"/>
      <c r="I300" s="3" t="n"/>
      <c r="J300" s="2" t="n"/>
      <c r="K300" s="2" t="n"/>
      <c r="L300" s="2" t="n"/>
      <c r="M300" s="2" t="n"/>
      <c r="N300" s="2" t="n"/>
      <c r="O300" s="2" t="n"/>
      <c r="P300" s="2" t="n"/>
      <c r="Q300" s="4">
        <f>IF(OR(A300="",E300=""),"",IF(MAXIFS($E$2:$E$1001,$A$2:$A$1001,A300,$E$2:$E$1001,"&lt;"&amp;E300)=0,"",SUMIFS($G$2:$G$1001,$A$2:$A$1001,A300,$E$2:$E$1001,MAXIFS($E$2:$E$1001,$A$2:$A$1001,A300,$E$2:$E$1001,"&lt;"&amp;E300))))</f>
        <v/>
      </c>
      <c r="R300" s="9">
        <f>IF(OR(Q300="",G300=""),"",G300-Q300)</f>
        <v/>
      </c>
      <c r="S300" s="9">
        <f>IF(R300="","",SUMIFS($R$2:$R$1001,$A$2:$A$1001,A300,$E$2:$E$1001,"&lt;="&amp;E300))</f>
        <v/>
      </c>
      <c r="T300" s="5">
        <f>IF(A300="","",IF(R300="","initial",IF(ABS(R300)&lt;=ShiftThresholdDays,"unchanged",IF(R300&gt;0,"delayed","accelerated"))))</f>
        <v/>
      </c>
    </row>
    <row r="301">
      <c r="A301" s="2" t="n"/>
      <c r="B301" s="2" t="n"/>
      <c r="C301" s="2" t="n"/>
      <c r="D301" s="2" t="n"/>
      <c r="E301" s="2" t="n"/>
      <c r="F301" s="2" t="n"/>
      <c r="G301" s="3" t="n"/>
      <c r="H301" s="2" t="n"/>
      <c r="I301" s="3" t="n"/>
      <c r="J301" s="2" t="n"/>
      <c r="K301" s="2" t="n"/>
      <c r="L301" s="2" t="n"/>
      <c r="M301" s="2" t="n"/>
      <c r="N301" s="2" t="n"/>
      <c r="O301" s="2" t="n"/>
      <c r="P301" s="2" t="n"/>
      <c r="Q301" s="4">
        <f>IF(OR(A301="",E301=""),"",IF(MAXIFS($E$2:$E$1001,$A$2:$A$1001,A301,$E$2:$E$1001,"&lt;"&amp;E301)=0,"",SUMIFS($G$2:$G$1001,$A$2:$A$1001,A301,$E$2:$E$1001,MAXIFS($E$2:$E$1001,$A$2:$A$1001,A301,$E$2:$E$1001,"&lt;"&amp;E301))))</f>
        <v/>
      </c>
      <c r="R301" s="9">
        <f>IF(OR(Q301="",G301=""),"",G301-Q301)</f>
        <v/>
      </c>
      <c r="S301" s="9">
        <f>IF(R301="","",SUMIFS($R$2:$R$1001,$A$2:$A$1001,A301,$E$2:$E$1001,"&lt;="&amp;E301))</f>
        <v/>
      </c>
      <c r="T301" s="5">
        <f>IF(A301="","",IF(R301="","initial",IF(ABS(R301)&lt;=ShiftThresholdDays,"unchanged",IF(R301&gt;0,"delayed","accelerated"))))</f>
        <v/>
      </c>
    </row>
    <row r="302">
      <c r="A302" s="2" t="n"/>
      <c r="B302" s="2" t="n"/>
      <c r="C302" s="2" t="n"/>
      <c r="D302" s="2" t="n"/>
      <c r="E302" s="2" t="n"/>
      <c r="F302" s="2" t="n"/>
      <c r="G302" s="3" t="n"/>
      <c r="H302" s="2" t="n"/>
      <c r="I302" s="3" t="n"/>
      <c r="J302" s="2" t="n"/>
      <c r="K302" s="2" t="n"/>
      <c r="L302" s="2" t="n"/>
      <c r="M302" s="2" t="n"/>
      <c r="N302" s="2" t="n"/>
      <c r="O302" s="2" t="n"/>
      <c r="P302" s="2" t="n"/>
      <c r="Q302" s="4">
        <f>IF(OR(A302="",E302=""),"",IF(MAXIFS($E$2:$E$1001,$A$2:$A$1001,A302,$E$2:$E$1001,"&lt;"&amp;E302)=0,"",SUMIFS($G$2:$G$1001,$A$2:$A$1001,A302,$E$2:$E$1001,MAXIFS($E$2:$E$1001,$A$2:$A$1001,A302,$E$2:$E$1001,"&lt;"&amp;E302))))</f>
        <v/>
      </c>
      <c r="R302" s="9">
        <f>IF(OR(Q302="",G302=""),"",G302-Q302)</f>
        <v/>
      </c>
      <c r="S302" s="9">
        <f>IF(R302="","",SUMIFS($R$2:$R$1001,$A$2:$A$1001,A302,$E$2:$E$1001,"&lt;="&amp;E302))</f>
        <v/>
      </c>
      <c r="T302" s="5">
        <f>IF(A302="","",IF(R302="","initial",IF(ABS(R302)&lt;=ShiftThresholdDays,"unchanged",IF(R302&gt;0,"delayed","accelerated"))))</f>
        <v/>
      </c>
    </row>
    <row r="303">
      <c r="A303" s="2" t="n"/>
      <c r="B303" s="2" t="n"/>
      <c r="C303" s="2" t="n"/>
      <c r="D303" s="2" t="n"/>
      <c r="E303" s="2" t="n"/>
      <c r="F303" s="2" t="n"/>
      <c r="G303" s="3" t="n"/>
      <c r="H303" s="2" t="n"/>
      <c r="I303" s="3" t="n"/>
      <c r="J303" s="2" t="n"/>
      <c r="K303" s="2" t="n"/>
      <c r="L303" s="2" t="n"/>
      <c r="M303" s="2" t="n"/>
      <c r="N303" s="2" t="n"/>
      <c r="O303" s="2" t="n"/>
      <c r="P303" s="2" t="n"/>
      <c r="Q303" s="4">
        <f>IF(OR(A303="",E303=""),"",IF(MAXIFS($E$2:$E$1001,$A$2:$A$1001,A303,$E$2:$E$1001,"&lt;"&amp;E303)=0,"",SUMIFS($G$2:$G$1001,$A$2:$A$1001,A303,$E$2:$E$1001,MAXIFS($E$2:$E$1001,$A$2:$A$1001,A303,$E$2:$E$1001,"&lt;"&amp;E303))))</f>
        <v/>
      </c>
      <c r="R303" s="9">
        <f>IF(OR(Q303="",G303=""),"",G303-Q303)</f>
        <v/>
      </c>
      <c r="S303" s="9">
        <f>IF(R303="","",SUMIFS($R$2:$R$1001,$A$2:$A$1001,A303,$E$2:$E$1001,"&lt;="&amp;E303))</f>
        <v/>
      </c>
      <c r="T303" s="5">
        <f>IF(A303="","",IF(R303="","initial",IF(ABS(R303)&lt;=ShiftThresholdDays,"unchanged",IF(R303&gt;0,"delayed","accelerated"))))</f>
        <v/>
      </c>
    </row>
    <row r="304">
      <c r="A304" s="2" t="n"/>
      <c r="B304" s="2" t="n"/>
      <c r="C304" s="2" t="n"/>
      <c r="D304" s="2" t="n"/>
      <c r="E304" s="2" t="n"/>
      <c r="F304" s="2" t="n"/>
      <c r="G304" s="3" t="n"/>
      <c r="H304" s="2" t="n"/>
      <c r="I304" s="3" t="n"/>
      <c r="J304" s="2" t="n"/>
      <c r="K304" s="2" t="n"/>
      <c r="L304" s="2" t="n"/>
      <c r="M304" s="2" t="n"/>
      <c r="N304" s="2" t="n"/>
      <c r="O304" s="2" t="n"/>
      <c r="P304" s="2" t="n"/>
      <c r="Q304" s="4">
        <f>IF(OR(A304="",E304=""),"",IF(MAXIFS($E$2:$E$1001,$A$2:$A$1001,A304,$E$2:$E$1001,"&lt;"&amp;E304)=0,"",SUMIFS($G$2:$G$1001,$A$2:$A$1001,A304,$E$2:$E$1001,MAXIFS($E$2:$E$1001,$A$2:$A$1001,A304,$E$2:$E$1001,"&lt;"&amp;E304))))</f>
        <v/>
      </c>
      <c r="R304" s="9">
        <f>IF(OR(Q304="",G304=""),"",G304-Q304)</f>
        <v/>
      </c>
      <c r="S304" s="9">
        <f>IF(R304="","",SUMIFS($R$2:$R$1001,$A$2:$A$1001,A304,$E$2:$E$1001,"&lt;="&amp;E304))</f>
        <v/>
      </c>
      <c r="T304" s="5">
        <f>IF(A304="","",IF(R304="","initial",IF(ABS(R304)&lt;=ShiftThresholdDays,"unchanged",IF(R304&gt;0,"delayed","accelerated"))))</f>
        <v/>
      </c>
    </row>
    <row r="305">
      <c r="A305" s="2" t="n"/>
      <c r="B305" s="2" t="n"/>
      <c r="C305" s="2" t="n"/>
      <c r="D305" s="2" t="n"/>
      <c r="E305" s="2" t="n"/>
      <c r="F305" s="2" t="n"/>
      <c r="G305" s="3" t="n"/>
      <c r="H305" s="2" t="n"/>
      <c r="I305" s="3" t="n"/>
      <c r="J305" s="2" t="n"/>
      <c r="K305" s="2" t="n"/>
      <c r="L305" s="2" t="n"/>
      <c r="M305" s="2" t="n"/>
      <c r="N305" s="2" t="n"/>
      <c r="O305" s="2" t="n"/>
      <c r="P305" s="2" t="n"/>
      <c r="Q305" s="4">
        <f>IF(OR(A305="",E305=""),"",IF(MAXIFS($E$2:$E$1001,$A$2:$A$1001,A305,$E$2:$E$1001,"&lt;"&amp;E305)=0,"",SUMIFS($G$2:$G$1001,$A$2:$A$1001,A305,$E$2:$E$1001,MAXIFS($E$2:$E$1001,$A$2:$A$1001,A305,$E$2:$E$1001,"&lt;"&amp;E305))))</f>
        <v/>
      </c>
      <c r="R305" s="9">
        <f>IF(OR(Q305="",G305=""),"",G305-Q305)</f>
        <v/>
      </c>
      <c r="S305" s="9">
        <f>IF(R305="","",SUMIFS($R$2:$R$1001,$A$2:$A$1001,A305,$E$2:$E$1001,"&lt;="&amp;E305))</f>
        <v/>
      </c>
      <c r="T305" s="5">
        <f>IF(A305="","",IF(R305="","initial",IF(ABS(R305)&lt;=ShiftThresholdDays,"unchanged",IF(R305&gt;0,"delayed","accelerated"))))</f>
        <v/>
      </c>
    </row>
    <row r="306">
      <c r="A306" s="2" t="n"/>
      <c r="B306" s="2" t="n"/>
      <c r="C306" s="2" t="n"/>
      <c r="D306" s="2" t="n"/>
      <c r="E306" s="2" t="n"/>
      <c r="F306" s="2" t="n"/>
      <c r="G306" s="3" t="n"/>
      <c r="H306" s="2" t="n"/>
      <c r="I306" s="3" t="n"/>
      <c r="J306" s="2" t="n"/>
      <c r="K306" s="2" t="n"/>
      <c r="L306" s="2" t="n"/>
      <c r="M306" s="2" t="n"/>
      <c r="N306" s="2" t="n"/>
      <c r="O306" s="2" t="n"/>
      <c r="P306" s="2" t="n"/>
      <c r="Q306" s="4">
        <f>IF(OR(A306="",E306=""),"",IF(MAXIFS($E$2:$E$1001,$A$2:$A$1001,A306,$E$2:$E$1001,"&lt;"&amp;E306)=0,"",SUMIFS($G$2:$G$1001,$A$2:$A$1001,A306,$E$2:$E$1001,MAXIFS($E$2:$E$1001,$A$2:$A$1001,A306,$E$2:$E$1001,"&lt;"&amp;E306))))</f>
        <v/>
      </c>
      <c r="R306" s="9">
        <f>IF(OR(Q306="",G306=""),"",G306-Q306)</f>
        <v/>
      </c>
      <c r="S306" s="9">
        <f>IF(R306="","",SUMIFS($R$2:$R$1001,$A$2:$A$1001,A306,$E$2:$E$1001,"&lt;="&amp;E306))</f>
        <v/>
      </c>
      <c r="T306" s="5">
        <f>IF(A306="","",IF(R306="","initial",IF(ABS(R306)&lt;=ShiftThresholdDays,"unchanged",IF(R306&gt;0,"delayed","accelerated"))))</f>
        <v/>
      </c>
    </row>
    <row r="307">
      <c r="A307" s="2" t="n"/>
      <c r="B307" s="2" t="n"/>
      <c r="C307" s="2" t="n"/>
      <c r="D307" s="2" t="n"/>
      <c r="E307" s="2" t="n"/>
      <c r="F307" s="2" t="n"/>
      <c r="G307" s="3" t="n"/>
      <c r="H307" s="2" t="n"/>
      <c r="I307" s="3" t="n"/>
      <c r="J307" s="2" t="n"/>
      <c r="K307" s="2" t="n"/>
      <c r="L307" s="2" t="n"/>
      <c r="M307" s="2" t="n"/>
      <c r="N307" s="2" t="n"/>
      <c r="O307" s="2" t="n"/>
      <c r="P307" s="2" t="n"/>
      <c r="Q307" s="4">
        <f>IF(OR(A307="",E307=""),"",IF(MAXIFS($E$2:$E$1001,$A$2:$A$1001,A307,$E$2:$E$1001,"&lt;"&amp;E307)=0,"",SUMIFS($G$2:$G$1001,$A$2:$A$1001,A307,$E$2:$E$1001,MAXIFS($E$2:$E$1001,$A$2:$A$1001,A307,$E$2:$E$1001,"&lt;"&amp;E307))))</f>
        <v/>
      </c>
      <c r="R307" s="9">
        <f>IF(OR(Q307="",G307=""),"",G307-Q307)</f>
        <v/>
      </c>
      <c r="S307" s="9">
        <f>IF(R307="","",SUMIFS($R$2:$R$1001,$A$2:$A$1001,A307,$E$2:$E$1001,"&lt;="&amp;E307))</f>
        <v/>
      </c>
      <c r="T307" s="5">
        <f>IF(A307="","",IF(R307="","initial",IF(ABS(R307)&lt;=ShiftThresholdDays,"unchanged",IF(R307&gt;0,"delayed","accelerated"))))</f>
        <v/>
      </c>
    </row>
    <row r="308">
      <c r="A308" s="2" t="n"/>
      <c r="B308" s="2" t="n"/>
      <c r="C308" s="2" t="n"/>
      <c r="D308" s="2" t="n"/>
      <c r="E308" s="2" t="n"/>
      <c r="F308" s="2" t="n"/>
      <c r="G308" s="3" t="n"/>
      <c r="H308" s="2" t="n"/>
      <c r="I308" s="3" t="n"/>
      <c r="J308" s="2" t="n"/>
      <c r="K308" s="2" t="n"/>
      <c r="L308" s="2" t="n"/>
      <c r="M308" s="2" t="n"/>
      <c r="N308" s="2" t="n"/>
      <c r="O308" s="2" t="n"/>
      <c r="P308" s="2" t="n"/>
      <c r="Q308" s="4">
        <f>IF(OR(A308="",E308=""),"",IF(MAXIFS($E$2:$E$1001,$A$2:$A$1001,A308,$E$2:$E$1001,"&lt;"&amp;E308)=0,"",SUMIFS($G$2:$G$1001,$A$2:$A$1001,A308,$E$2:$E$1001,MAXIFS($E$2:$E$1001,$A$2:$A$1001,A308,$E$2:$E$1001,"&lt;"&amp;E308))))</f>
        <v/>
      </c>
      <c r="R308" s="9">
        <f>IF(OR(Q308="",G308=""),"",G308-Q308)</f>
        <v/>
      </c>
      <c r="S308" s="9">
        <f>IF(R308="","",SUMIFS($R$2:$R$1001,$A$2:$A$1001,A308,$E$2:$E$1001,"&lt;="&amp;E308))</f>
        <v/>
      </c>
      <c r="T308" s="5">
        <f>IF(A308="","",IF(R308="","initial",IF(ABS(R308)&lt;=ShiftThresholdDays,"unchanged",IF(R308&gt;0,"delayed","accelerated"))))</f>
        <v/>
      </c>
    </row>
    <row r="309">
      <c r="A309" s="2" t="n"/>
      <c r="B309" s="2" t="n"/>
      <c r="C309" s="2" t="n"/>
      <c r="D309" s="2" t="n"/>
      <c r="E309" s="2" t="n"/>
      <c r="F309" s="2" t="n"/>
      <c r="G309" s="3" t="n"/>
      <c r="H309" s="2" t="n"/>
      <c r="I309" s="3" t="n"/>
      <c r="J309" s="2" t="n"/>
      <c r="K309" s="2" t="n"/>
      <c r="L309" s="2" t="n"/>
      <c r="M309" s="2" t="n"/>
      <c r="N309" s="2" t="n"/>
      <c r="O309" s="2" t="n"/>
      <c r="P309" s="2" t="n"/>
      <c r="Q309" s="4">
        <f>IF(OR(A309="",E309=""),"",IF(MAXIFS($E$2:$E$1001,$A$2:$A$1001,A309,$E$2:$E$1001,"&lt;"&amp;E309)=0,"",SUMIFS($G$2:$G$1001,$A$2:$A$1001,A309,$E$2:$E$1001,MAXIFS($E$2:$E$1001,$A$2:$A$1001,A309,$E$2:$E$1001,"&lt;"&amp;E309))))</f>
        <v/>
      </c>
      <c r="R309" s="9">
        <f>IF(OR(Q309="",G309=""),"",G309-Q309)</f>
        <v/>
      </c>
      <c r="S309" s="9">
        <f>IF(R309="","",SUMIFS($R$2:$R$1001,$A$2:$A$1001,A309,$E$2:$E$1001,"&lt;="&amp;E309))</f>
        <v/>
      </c>
      <c r="T309" s="5">
        <f>IF(A309="","",IF(R309="","initial",IF(ABS(R309)&lt;=ShiftThresholdDays,"unchanged",IF(R309&gt;0,"delayed","accelerated"))))</f>
        <v/>
      </c>
    </row>
    <row r="310">
      <c r="A310" s="2" t="n"/>
      <c r="B310" s="2" t="n"/>
      <c r="C310" s="2" t="n"/>
      <c r="D310" s="2" t="n"/>
      <c r="E310" s="2" t="n"/>
      <c r="F310" s="2" t="n"/>
      <c r="G310" s="3" t="n"/>
      <c r="H310" s="2" t="n"/>
      <c r="I310" s="3" t="n"/>
      <c r="J310" s="2" t="n"/>
      <c r="K310" s="2" t="n"/>
      <c r="L310" s="2" t="n"/>
      <c r="M310" s="2" t="n"/>
      <c r="N310" s="2" t="n"/>
      <c r="O310" s="2" t="n"/>
      <c r="P310" s="2" t="n"/>
      <c r="Q310" s="4">
        <f>IF(OR(A310="",E310=""),"",IF(MAXIFS($E$2:$E$1001,$A$2:$A$1001,A310,$E$2:$E$1001,"&lt;"&amp;E310)=0,"",SUMIFS($G$2:$G$1001,$A$2:$A$1001,A310,$E$2:$E$1001,MAXIFS($E$2:$E$1001,$A$2:$A$1001,A310,$E$2:$E$1001,"&lt;"&amp;E310))))</f>
        <v/>
      </c>
      <c r="R310" s="9">
        <f>IF(OR(Q310="",G310=""),"",G310-Q310)</f>
        <v/>
      </c>
      <c r="S310" s="9">
        <f>IF(R310="","",SUMIFS($R$2:$R$1001,$A$2:$A$1001,A310,$E$2:$E$1001,"&lt;="&amp;E310))</f>
        <v/>
      </c>
      <c r="T310" s="5">
        <f>IF(A310="","",IF(R310="","initial",IF(ABS(R310)&lt;=ShiftThresholdDays,"unchanged",IF(R310&gt;0,"delayed","accelerated"))))</f>
        <v/>
      </c>
    </row>
    <row r="311">
      <c r="A311" s="2" t="n"/>
      <c r="B311" s="2" t="n"/>
      <c r="C311" s="2" t="n"/>
      <c r="D311" s="2" t="n"/>
      <c r="E311" s="2" t="n"/>
      <c r="F311" s="2" t="n"/>
      <c r="G311" s="3" t="n"/>
      <c r="H311" s="2" t="n"/>
      <c r="I311" s="3" t="n"/>
      <c r="J311" s="2" t="n"/>
      <c r="K311" s="2" t="n"/>
      <c r="L311" s="2" t="n"/>
      <c r="M311" s="2" t="n"/>
      <c r="N311" s="2" t="n"/>
      <c r="O311" s="2" t="n"/>
      <c r="P311" s="2" t="n"/>
      <c r="Q311" s="4">
        <f>IF(OR(A311="",E311=""),"",IF(MAXIFS($E$2:$E$1001,$A$2:$A$1001,A311,$E$2:$E$1001,"&lt;"&amp;E311)=0,"",SUMIFS($G$2:$G$1001,$A$2:$A$1001,A311,$E$2:$E$1001,MAXIFS($E$2:$E$1001,$A$2:$A$1001,A311,$E$2:$E$1001,"&lt;"&amp;E311))))</f>
        <v/>
      </c>
      <c r="R311" s="9">
        <f>IF(OR(Q311="",G311=""),"",G311-Q311)</f>
        <v/>
      </c>
      <c r="S311" s="9">
        <f>IF(R311="","",SUMIFS($R$2:$R$1001,$A$2:$A$1001,A311,$E$2:$E$1001,"&lt;="&amp;E311))</f>
        <v/>
      </c>
      <c r="T311" s="5">
        <f>IF(A311="","",IF(R311="","initial",IF(ABS(R311)&lt;=ShiftThresholdDays,"unchanged",IF(R311&gt;0,"delayed","accelerated"))))</f>
        <v/>
      </c>
    </row>
    <row r="312">
      <c r="A312" s="2" t="n"/>
      <c r="B312" s="2" t="n"/>
      <c r="C312" s="2" t="n"/>
      <c r="D312" s="2" t="n"/>
      <c r="E312" s="2" t="n"/>
      <c r="F312" s="2" t="n"/>
      <c r="G312" s="3" t="n"/>
      <c r="H312" s="2" t="n"/>
      <c r="I312" s="3" t="n"/>
      <c r="J312" s="2" t="n"/>
      <c r="K312" s="2" t="n"/>
      <c r="L312" s="2" t="n"/>
      <c r="M312" s="2" t="n"/>
      <c r="N312" s="2" t="n"/>
      <c r="O312" s="2" t="n"/>
      <c r="P312" s="2" t="n"/>
      <c r="Q312" s="4">
        <f>IF(OR(A312="",E312=""),"",IF(MAXIFS($E$2:$E$1001,$A$2:$A$1001,A312,$E$2:$E$1001,"&lt;"&amp;E312)=0,"",SUMIFS($G$2:$G$1001,$A$2:$A$1001,A312,$E$2:$E$1001,MAXIFS($E$2:$E$1001,$A$2:$A$1001,A312,$E$2:$E$1001,"&lt;"&amp;E312))))</f>
        <v/>
      </c>
      <c r="R312" s="9">
        <f>IF(OR(Q312="",G312=""),"",G312-Q312)</f>
        <v/>
      </c>
      <c r="S312" s="9">
        <f>IF(R312="","",SUMIFS($R$2:$R$1001,$A$2:$A$1001,A312,$E$2:$E$1001,"&lt;="&amp;E312))</f>
        <v/>
      </c>
      <c r="T312" s="5">
        <f>IF(A312="","",IF(R312="","initial",IF(ABS(R312)&lt;=ShiftThresholdDays,"unchanged",IF(R312&gt;0,"delayed","accelerated"))))</f>
        <v/>
      </c>
    </row>
    <row r="313">
      <c r="A313" s="2" t="n"/>
      <c r="B313" s="2" t="n"/>
      <c r="C313" s="2" t="n"/>
      <c r="D313" s="2" t="n"/>
      <c r="E313" s="2" t="n"/>
      <c r="F313" s="2" t="n"/>
      <c r="G313" s="3" t="n"/>
      <c r="H313" s="2" t="n"/>
      <c r="I313" s="3" t="n"/>
      <c r="J313" s="2" t="n"/>
      <c r="K313" s="2" t="n"/>
      <c r="L313" s="2" t="n"/>
      <c r="M313" s="2" t="n"/>
      <c r="N313" s="2" t="n"/>
      <c r="O313" s="2" t="n"/>
      <c r="P313" s="2" t="n"/>
      <c r="Q313" s="4">
        <f>IF(OR(A313="",E313=""),"",IF(MAXIFS($E$2:$E$1001,$A$2:$A$1001,A313,$E$2:$E$1001,"&lt;"&amp;E313)=0,"",SUMIFS($G$2:$G$1001,$A$2:$A$1001,A313,$E$2:$E$1001,MAXIFS($E$2:$E$1001,$A$2:$A$1001,A313,$E$2:$E$1001,"&lt;"&amp;E313))))</f>
        <v/>
      </c>
      <c r="R313" s="9">
        <f>IF(OR(Q313="",G313=""),"",G313-Q313)</f>
        <v/>
      </c>
      <c r="S313" s="9">
        <f>IF(R313="","",SUMIFS($R$2:$R$1001,$A$2:$A$1001,A313,$E$2:$E$1001,"&lt;="&amp;E313))</f>
        <v/>
      </c>
      <c r="T313" s="5">
        <f>IF(A313="","",IF(R313="","initial",IF(ABS(R313)&lt;=ShiftThresholdDays,"unchanged",IF(R313&gt;0,"delayed","accelerated"))))</f>
        <v/>
      </c>
    </row>
    <row r="314">
      <c r="A314" s="2" t="n"/>
      <c r="B314" s="2" t="n"/>
      <c r="C314" s="2" t="n"/>
      <c r="D314" s="2" t="n"/>
      <c r="E314" s="2" t="n"/>
      <c r="F314" s="2" t="n"/>
      <c r="G314" s="3" t="n"/>
      <c r="H314" s="2" t="n"/>
      <c r="I314" s="3" t="n"/>
      <c r="J314" s="2" t="n"/>
      <c r="K314" s="2" t="n"/>
      <c r="L314" s="2" t="n"/>
      <c r="M314" s="2" t="n"/>
      <c r="N314" s="2" t="n"/>
      <c r="O314" s="2" t="n"/>
      <c r="P314" s="2" t="n"/>
      <c r="Q314" s="4">
        <f>IF(OR(A314="",E314=""),"",IF(MAXIFS($E$2:$E$1001,$A$2:$A$1001,A314,$E$2:$E$1001,"&lt;"&amp;E314)=0,"",SUMIFS($G$2:$G$1001,$A$2:$A$1001,A314,$E$2:$E$1001,MAXIFS($E$2:$E$1001,$A$2:$A$1001,A314,$E$2:$E$1001,"&lt;"&amp;E314))))</f>
        <v/>
      </c>
      <c r="R314" s="9">
        <f>IF(OR(Q314="",G314=""),"",G314-Q314)</f>
        <v/>
      </c>
      <c r="S314" s="9">
        <f>IF(R314="","",SUMIFS($R$2:$R$1001,$A$2:$A$1001,A314,$E$2:$E$1001,"&lt;="&amp;E314))</f>
        <v/>
      </c>
      <c r="T314" s="5">
        <f>IF(A314="","",IF(R314="","initial",IF(ABS(R314)&lt;=ShiftThresholdDays,"unchanged",IF(R314&gt;0,"delayed","accelerated"))))</f>
        <v/>
      </c>
    </row>
    <row r="315">
      <c r="A315" s="2" t="n"/>
      <c r="B315" s="2" t="n"/>
      <c r="C315" s="2" t="n"/>
      <c r="D315" s="2" t="n"/>
      <c r="E315" s="2" t="n"/>
      <c r="F315" s="2" t="n"/>
      <c r="G315" s="3" t="n"/>
      <c r="H315" s="2" t="n"/>
      <c r="I315" s="3" t="n"/>
      <c r="J315" s="2" t="n"/>
      <c r="K315" s="2" t="n"/>
      <c r="L315" s="2" t="n"/>
      <c r="M315" s="2" t="n"/>
      <c r="N315" s="2" t="n"/>
      <c r="O315" s="2" t="n"/>
      <c r="P315" s="2" t="n"/>
      <c r="Q315" s="4">
        <f>IF(OR(A315="",E315=""),"",IF(MAXIFS($E$2:$E$1001,$A$2:$A$1001,A315,$E$2:$E$1001,"&lt;"&amp;E315)=0,"",SUMIFS($G$2:$G$1001,$A$2:$A$1001,A315,$E$2:$E$1001,MAXIFS($E$2:$E$1001,$A$2:$A$1001,A315,$E$2:$E$1001,"&lt;"&amp;E315))))</f>
        <v/>
      </c>
      <c r="R315" s="9">
        <f>IF(OR(Q315="",G315=""),"",G315-Q315)</f>
        <v/>
      </c>
      <c r="S315" s="9">
        <f>IF(R315="","",SUMIFS($R$2:$R$1001,$A$2:$A$1001,A315,$E$2:$E$1001,"&lt;="&amp;E315))</f>
        <v/>
      </c>
      <c r="T315" s="5">
        <f>IF(A315="","",IF(R315="","initial",IF(ABS(R315)&lt;=ShiftThresholdDays,"unchanged",IF(R315&gt;0,"delayed","accelerated"))))</f>
        <v/>
      </c>
    </row>
    <row r="316">
      <c r="A316" s="2" t="n"/>
      <c r="B316" s="2" t="n"/>
      <c r="C316" s="2" t="n"/>
      <c r="D316" s="2" t="n"/>
      <c r="E316" s="2" t="n"/>
      <c r="F316" s="2" t="n"/>
      <c r="G316" s="3" t="n"/>
      <c r="H316" s="2" t="n"/>
      <c r="I316" s="3" t="n"/>
      <c r="J316" s="2" t="n"/>
      <c r="K316" s="2" t="n"/>
      <c r="L316" s="2" t="n"/>
      <c r="M316" s="2" t="n"/>
      <c r="N316" s="2" t="n"/>
      <c r="O316" s="2" t="n"/>
      <c r="P316" s="2" t="n"/>
      <c r="Q316" s="4">
        <f>IF(OR(A316="",E316=""),"",IF(MAXIFS($E$2:$E$1001,$A$2:$A$1001,A316,$E$2:$E$1001,"&lt;"&amp;E316)=0,"",SUMIFS($G$2:$G$1001,$A$2:$A$1001,A316,$E$2:$E$1001,MAXIFS($E$2:$E$1001,$A$2:$A$1001,A316,$E$2:$E$1001,"&lt;"&amp;E316))))</f>
        <v/>
      </c>
      <c r="R316" s="9">
        <f>IF(OR(Q316="",G316=""),"",G316-Q316)</f>
        <v/>
      </c>
      <c r="S316" s="9">
        <f>IF(R316="","",SUMIFS($R$2:$R$1001,$A$2:$A$1001,A316,$E$2:$E$1001,"&lt;="&amp;E316))</f>
        <v/>
      </c>
      <c r="T316" s="5">
        <f>IF(A316="","",IF(R316="","initial",IF(ABS(R316)&lt;=ShiftThresholdDays,"unchanged",IF(R316&gt;0,"delayed","accelerated"))))</f>
        <v/>
      </c>
    </row>
    <row r="317">
      <c r="A317" s="2" t="n"/>
      <c r="B317" s="2" t="n"/>
      <c r="C317" s="2" t="n"/>
      <c r="D317" s="2" t="n"/>
      <c r="E317" s="2" t="n"/>
      <c r="F317" s="2" t="n"/>
      <c r="G317" s="3" t="n"/>
      <c r="H317" s="2" t="n"/>
      <c r="I317" s="3" t="n"/>
      <c r="J317" s="2" t="n"/>
      <c r="K317" s="2" t="n"/>
      <c r="L317" s="2" t="n"/>
      <c r="M317" s="2" t="n"/>
      <c r="N317" s="2" t="n"/>
      <c r="O317" s="2" t="n"/>
      <c r="P317" s="2" t="n"/>
      <c r="Q317" s="4">
        <f>IF(OR(A317="",E317=""),"",IF(MAXIFS($E$2:$E$1001,$A$2:$A$1001,A317,$E$2:$E$1001,"&lt;"&amp;E317)=0,"",SUMIFS($G$2:$G$1001,$A$2:$A$1001,A317,$E$2:$E$1001,MAXIFS($E$2:$E$1001,$A$2:$A$1001,A317,$E$2:$E$1001,"&lt;"&amp;E317))))</f>
        <v/>
      </c>
      <c r="R317" s="9">
        <f>IF(OR(Q317="",G317=""),"",G317-Q317)</f>
        <v/>
      </c>
      <c r="S317" s="9">
        <f>IF(R317="","",SUMIFS($R$2:$R$1001,$A$2:$A$1001,A317,$E$2:$E$1001,"&lt;="&amp;E317))</f>
        <v/>
      </c>
      <c r="T317" s="5">
        <f>IF(A317="","",IF(R317="","initial",IF(ABS(R317)&lt;=ShiftThresholdDays,"unchanged",IF(R317&gt;0,"delayed","accelerated"))))</f>
        <v/>
      </c>
    </row>
    <row r="318">
      <c r="A318" s="2" t="n"/>
      <c r="B318" s="2" t="n"/>
      <c r="C318" s="2" t="n"/>
      <c r="D318" s="2" t="n"/>
      <c r="E318" s="2" t="n"/>
      <c r="F318" s="2" t="n"/>
      <c r="G318" s="3" t="n"/>
      <c r="H318" s="2" t="n"/>
      <c r="I318" s="3" t="n"/>
      <c r="J318" s="2" t="n"/>
      <c r="K318" s="2" t="n"/>
      <c r="L318" s="2" t="n"/>
      <c r="M318" s="2" t="n"/>
      <c r="N318" s="2" t="n"/>
      <c r="O318" s="2" t="n"/>
      <c r="P318" s="2" t="n"/>
      <c r="Q318" s="4">
        <f>IF(OR(A318="",E318=""),"",IF(MAXIFS($E$2:$E$1001,$A$2:$A$1001,A318,$E$2:$E$1001,"&lt;"&amp;E318)=0,"",SUMIFS($G$2:$G$1001,$A$2:$A$1001,A318,$E$2:$E$1001,MAXIFS($E$2:$E$1001,$A$2:$A$1001,A318,$E$2:$E$1001,"&lt;"&amp;E318))))</f>
        <v/>
      </c>
      <c r="R318" s="9">
        <f>IF(OR(Q318="",G318=""),"",G318-Q318)</f>
        <v/>
      </c>
      <c r="S318" s="9">
        <f>IF(R318="","",SUMIFS($R$2:$R$1001,$A$2:$A$1001,A318,$E$2:$E$1001,"&lt;="&amp;E318))</f>
        <v/>
      </c>
      <c r="T318" s="5">
        <f>IF(A318="","",IF(R318="","initial",IF(ABS(R318)&lt;=ShiftThresholdDays,"unchanged",IF(R318&gt;0,"delayed","accelerated"))))</f>
        <v/>
      </c>
    </row>
    <row r="319">
      <c r="A319" s="2" t="n"/>
      <c r="B319" s="2" t="n"/>
      <c r="C319" s="2" t="n"/>
      <c r="D319" s="2" t="n"/>
      <c r="E319" s="2" t="n"/>
      <c r="F319" s="2" t="n"/>
      <c r="G319" s="3" t="n"/>
      <c r="H319" s="2" t="n"/>
      <c r="I319" s="3" t="n"/>
      <c r="J319" s="2" t="n"/>
      <c r="K319" s="2" t="n"/>
      <c r="L319" s="2" t="n"/>
      <c r="M319" s="2" t="n"/>
      <c r="N319" s="2" t="n"/>
      <c r="O319" s="2" t="n"/>
      <c r="P319" s="2" t="n"/>
      <c r="Q319" s="4">
        <f>IF(OR(A319="",E319=""),"",IF(MAXIFS($E$2:$E$1001,$A$2:$A$1001,A319,$E$2:$E$1001,"&lt;"&amp;E319)=0,"",SUMIFS($G$2:$G$1001,$A$2:$A$1001,A319,$E$2:$E$1001,MAXIFS($E$2:$E$1001,$A$2:$A$1001,A319,$E$2:$E$1001,"&lt;"&amp;E319))))</f>
        <v/>
      </c>
      <c r="R319" s="9">
        <f>IF(OR(Q319="",G319=""),"",G319-Q319)</f>
        <v/>
      </c>
      <c r="S319" s="9">
        <f>IF(R319="","",SUMIFS($R$2:$R$1001,$A$2:$A$1001,A319,$E$2:$E$1001,"&lt;="&amp;E319))</f>
        <v/>
      </c>
      <c r="T319" s="5">
        <f>IF(A319="","",IF(R319="","initial",IF(ABS(R319)&lt;=ShiftThresholdDays,"unchanged",IF(R319&gt;0,"delayed","accelerated"))))</f>
        <v/>
      </c>
    </row>
    <row r="320">
      <c r="A320" s="2" t="n"/>
      <c r="B320" s="2" t="n"/>
      <c r="C320" s="2" t="n"/>
      <c r="D320" s="2" t="n"/>
      <c r="E320" s="2" t="n"/>
      <c r="F320" s="2" t="n"/>
      <c r="G320" s="3" t="n"/>
      <c r="H320" s="2" t="n"/>
      <c r="I320" s="3" t="n"/>
      <c r="J320" s="2" t="n"/>
      <c r="K320" s="2" t="n"/>
      <c r="L320" s="2" t="n"/>
      <c r="M320" s="2" t="n"/>
      <c r="N320" s="2" t="n"/>
      <c r="O320" s="2" t="n"/>
      <c r="P320" s="2" t="n"/>
      <c r="Q320" s="4">
        <f>IF(OR(A320="",E320=""),"",IF(MAXIFS($E$2:$E$1001,$A$2:$A$1001,A320,$E$2:$E$1001,"&lt;"&amp;E320)=0,"",SUMIFS($G$2:$G$1001,$A$2:$A$1001,A320,$E$2:$E$1001,MAXIFS($E$2:$E$1001,$A$2:$A$1001,A320,$E$2:$E$1001,"&lt;"&amp;E320))))</f>
        <v/>
      </c>
      <c r="R320" s="9">
        <f>IF(OR(Q320="",G320=""),"",G320-Q320)</f>
        <v/>
      </c>
      <c r="S320" s="9">
        <f>IF(R320="","",SUMIFS($R$2:$R$1001,$A$2:$A$1001,A320,$E$2:$E$1001,"&lt;="&amp;E320))</f>
        <v/>
      </c>
      <c r="T320" s="5">
        <f>IF(A320="","",IF(R320="","initial",IF(ABS(R320)&lt;=ShiftThresholdDays,"unchanged",IF(R320&gt;0,"delayed","accelerated"))))</f>
        <v/>
      </c>
    </row>
    <row r="321">
      <c r="A321" s="2" t="n"/>
      <c r="B321" s="2" t="n"/>
      <c r="C321" s="2" t="n"/>
      <c r="D321" s="2" t="n"/>
      <c r="E321" s="2" t="n"/>
      <c r="F321" s="2" t="n"/>
      <c r="G321" s="3" t="n"/>
      <c r="H321" s="2" t="n"/>
      <c r="I321" s="3" t="n"/>
      <c r="J321" s="2" t="n"/>
      <c r="K321" s="2" t="n"/>
      <c r="L321" s="2" t="n"/>
      <c r="M321" s="2" t="n"/>
      <c r="N321" s="2" t="n"/>
      <c r="O321" s="2" t="n"/>
      <c r="P321" s="2" t="n"/>
      <c r="Q321" s="4">
        <f>IF(OR(A321="",E321=""),"",IF(MAXIFS($E$2:$E$1001,$A$2:$A$1001,A321,$E$2:$E$1001,"&lt;"&amp;E321)=0,"",SUMIFS($G$2:$G$1001,$A$2:$A$1001,A321,$E$2:$E$1001,MAXIFS($E$2:$E$1001,$A$2:$A$1001,A321,$E$2:$E$1001,"&lt;"&amp;E321))))</f>
        <v/>
      </c>
      <c r="R321" s="9">
        <f>IF(OR(Q321="",G321=""),"",G321-Q321)</f>
        <v/>
      </c>
      <c r="S321" s="9">
        <f>IF(R321="","",SUMIFS($R$2:$R$1001,$A$2:$A$1001,A321,$E$2:$E$1001,"&lt;="&amp;E321))</f>
        <v/>
      </c>
      <c r="T321" s="5">
        <f>IF(A321="","",IF(R321="","initial",IF(ABS(R321)&lt;=ShiftThresholdDays,"unchanged",IF(R321&gt;0,"delayed","accelerated"))))</f>
        <v/>
      </c>
    </row>
    <row r="322">
      <c r="A322" s="2" t="n"/>
      <c r="B322" s="2" t="n"/>
      <c r="C322" s="2" t="n"/>
      <c r="D322" s="2" t="n"/>
      <c r="E322" s="2" t="n"/>
      <c r="F322" s="2" t="n"/>
      <c r="G322" s="3" t="n"/>
      <c r="H322" s="2" t="n"/>
      <c r="I322" s="3" t="n"/>
      <c r="J322" s="2" t="n"/>
      <c r="K322" s="2" t="n"/>
      <c r="L322" s="2" t="n"/>
      <c r="M322" s="2" t="n"/>
      <c r="N322" s="2" t="n"/>
      <c r="O322" s="2" t="n"/>
      <c r="P322" s="2" t="n"/>
      <c r="Q322" s="4">
        <f>IF(OR(A322="",E322=""),"",IF(MAXIFS($E$2:$E$1001,$A$2:$A$1001,A322,$E$2:$E$1001,"&lt;"&amp;E322)=0,"",SUMIFS($G$2:$G$1001,$A$2:$A$1001,A322,$E$2:$E$1001,MAXIFS($E$2:$E$1001,$A$2:$A$1001,A322,$E$2:$E$1001,"&lt;"&amp;E322))))</f>
        <v/>
      </c>
      <c r="R322" s="9">
        <f>IF(OR(Q322="",G322=""),"",G322-Q322)</f>
        <v/>
      </c>
      <c r="S322" s="9">
        <f>IF(R322="","",SUMIFS($R$2:$R$1001,$A$2:$A$1001,A322,$E$2:$E$1001,"&lt;="&amp;E322))</f>
        <v/>
      </c>
      <c r="T322" s="5">
        <f>IF(A322="","",IF(R322="","initial",IF(ABS(R322)&lt;=ShiftThresholdDays,"unchanged",IF(R322&gt;0,"delayed","accelerated"))))</f>
        <v/>
      </c>
    </row>
    <row r="323">
      <c r="A323" s="2" t="n"/>
      <c r="B323" s="2" t="n"/>
      <c r="C323" s="2" t="n"/>
      <c r="D323" s="2" t="n"/>
      <c r="E323" s="2" t="n"/>
      <c r="F323" s="2" t="n"/>
      <c r="G323" s="3" t="n"/>
      <c r="H323" s="2" t="n"/>
      <c r="I323" s="3" t="n"/>
      <c r="J323" s="2" t="n"/>
      <c r="K323" s="2" t="n"/>
      <c r="L323" s="2" t="n"/>
      <c r="M323" s="2" t="n"/>
      <c r="N323" s="2" t="n"/>
      <c r="O323" s="2" t="n"/>
      <c r="P323" s="2" t="n"/>
      <c r="Q323" s="4">
        <f>IF(OR(A323="",E323=""),"",IF(MAXIFS($E$2:$E$1001,$A$2:$A$1001,A323,$E$2:$E$1001,"&lt;"&amp;E323)=0,"",SUMIFS($G$2:$G$1001,$A$2:$A$1001,A323,$E$2:$E$1001,MAXIFS($E$2:$E$1001,$A$2:$A$1001,A323,$E$2:$E$1001,"&lt;"&amp;E323))))</f>
        <v/>
      </c>
      <c r="R323" s="9">
        <f>IF(OR(Q323="",G323=""),"",G323-Q323)</f>
        <v/>
      </c>
      <c r="S323" s="9">
        <f>IF(R323="","",SUMIFS($R$2:$R$1001,$A$2:$A$1001,A323,$E$2:$E$1001,"&lt;="&amp;E323))</f>
        <v/>
      </c>
      <c r="T323" s="5">
        <f>IF(A323="","",IF(R323="","initial",IF(ABS(R323)&lt;=ShiftThresholdDays,"unchanged",IF(R323&gt;0,"delayed","accelerated"))))</f>
        <v/>
      </c>
    </row>
    <row r="324">
      <c r="A324" s="2" t="n"/>
      <c r="B324" s="2" t="n"/>
      <c r="C324" s="2" t="n"/>
      <c r="D324" s="2" t="n"/>
      <c r="E324" s="2" t="n"/>
      <c r="F324" s="2" t="n"/>
      <c r="G324" s="3" t="n"/>
      <c r="H324" s="2" t="n"/>
      <c r="I324" s="3" t="n"/>
      <c r="J324" s="2" t="n"/>
      <c r="K324" s="2" t="n"/>
      <c r="L324" s="2" t="n"/>
      <c r="M324" s="2" t="n"/>
      <c r="N324" s="2" t="n"/>
      <c r="O324" s="2" t="n"/>
      <c r="P324" s="2" t="n"/>
      <c r="Q324" s="4">
        <f>IF(OR(A324="",E324=""),"",IF(MAXIFS($E$2:$E$1001,$A$2:$A$1001,A324,$E$2:$E$1001,"&lt;"&amp;E324)=0,"",SUMIFS($G$2:$G$1001,$A$2:$A$1001,A324,$E$2:$E$1001,MAXIFS($E$2:$E$1001,$A$2:$A$1001,A324,$E$2:$E$1001,"&lt;"&amp;E324))))</f>
        <v/>
      </c>
      <c r="R324" s="9">
        <f>IF(OR(Q324="",G324=""),"",G324-Q324)</f>
        <v/>
      </c>
      <c r="S324" s="9">
        <f>IF(R324="","",SUMIFS($R$2:$R$1001,$A$2:$A$1001,A324,$E$2:$E$1001,"&lt;="&amp;E324))</f>
        <v/>
      </c>
      <c r="T324" s="5">
        <f>IF(A324="","",IF(R324="","initial",IF(ABS(R324)&lt;=ShiftThresholdDays,"unchanged",IF(R324&gt;0,"delayed","accelerated"))))</f>
        <v/>
      </c>
    </row>
    <row r="325">
      <c r="A325" s="2" t="n"/>
      <c r="B325" s="2" t="n"/>
      <c r="C325" s="2" t="n"/>
      <c r="D325" s="2" t="n"/>
      <c r="E325" s="2" t="n"/>
      <c r="F325" s="2" t="n"/>
      <c r="G325" s="3" t="n"/>
      <c r="H325" s="2" t="n"/>
      <c r="I325" s="3" t="n"/>
      <c r="J325" s="2" t="n"/>
      <c r="K325" s="2" t="n"/>
      <c r="L325" s="2" t="n"/>
      <c r="M325" s="2" t="n"/>
      <c r="N325" s="2" t="n"/>
      <c r="O325" s="2" t="n"/>
      <c r="P325" s="2" t="n"/>
      <c r="Q325" s="4">
        <f>IF(OR(A325="",E325=""),"",IF(MAXIFS($E$2:$E$1001,$A$2:$A$1001,A325,$E$2:$E$1001,"&lt;"&amp;E325)=0,"",SUMIFS($G$2:$G$1001,$A$2:$A$1001,A325,$E$2:$E$1001,MAXIFS($E$2:$E$1001,$A$2:$A$1001,A325,$E$2:$E$1001,"&lt;"&amp;E325))))</f>
        <v/>
      </c>
      <c r="R325" s="9">
        <f>IF(OR(Q325="",G325=""),"",G325-Q325)</f>
        <v/>
      </c>
      <c r="S325" s="9">
        <f>IF(R325="","",SUMIFS($R$2:$R$1001,$A$2:$A$1001,A325,$E$2:$E$1001,"&lt;="&amp;E325))</f>
        <v/>
      </c>
      <c r="T325" s="5">
        <f>IF(A325="","",IF(R325="","initial",IF(ABS(R325)&lt;=ShiftThresholdDays,"unchanged",IF(R325&gt;0,"delayed","accelerated"))))</f>
        <v/>
      </c>
    </row>
    <row r="326">
      <c r="A326" s="2" t="n"/>
      <c r="B326" s="2" t="n"/>
      <c r="C326" s="2" t="n"/>
      <c r="D326" s="2" t="n"/>
      <c r="E326" s="2" t="n"/>
      <c r="F326" s="2" t="n"/>
      <c r="G326" s="3" t="n"/>
      <c r="H326" s="2" t="n"/>
      <c r="I326" s="3" t="n"/>
      <c r="J326" s="2" t="n"/>
      <c r="K326" s="2" t="n"/>
      <c r="L326" s="2" t="n"/>
      <c r="M326" s="2" t="n"/>
      <c r="N326" s="2" t="n"/>
      <c r="O326" s="2" t="n"/>
      <c r="P326" s="2" t="n"/>
      <c r="Q326" s="4">
        <f>IF(OR(A326="",E326=""),"",IF(MAXIFS($E$2:$E$1001,$A$2:$A$1001,A326,$E$2:$E$1001,"&lt;"&amp;E326)=0,"",SUMIFS($G$2:$G$1001,$A$2:$A$1001,A326,$E$2:$E$1001,MAXIFS($E$2:$E$1001,$A$2:$A$1001,A326,$E$2:$E$1001,"&lt;"&amp;E326))))</f>
        <v/>
      </c>
      <c r="R326" s="9">
        <f>IF(OR(Q326="",G326=""),"",G326-Q326)</f>
        <v/>
      </c>
      <c r="S326" s="9">
        <f>IF(R326="","",SUMIFS($R$2:$R$1001,$A$2:$A$1001,A326,$E$2:$E$1001,"&lt;="&amp;E326))</f>
        <v/>
      </c>
      <c r="T326" s="5">
        <f>IF(A326="","",IF(R326="","initial",IF(ABS(R326)&lt;=ShiftThresholdDays,"unchanged",IF(R326&gt;0,"delayed","accelerated"))))</f>
        <v/>
      </c>
    </row>
    <row r="327">
      <c r="A327" s="2" t="n"/>
      <c r="B327" s="2" t="n"/>
      <c r="C327" s="2" t="n"/>
      <c r="D327" s="2" t="n"/>
      <c r="E327" s="2" t="n"/>
      <c r="F327" s="2" t="n"/>
      <c r="G327" s="3" t="n"/>
      <c r="H327" s="2" t="n"/>
      <c r="I327" s="3" t="n"/>
      <c r="J327" s="2" t="n"/>
      <c r="K327" s="2" t="n"/>
      <c r="L327" s="2" t="n"/>
      <c r="M327" s="2" t="n"/>
      <c r="N327" s="2" t="n"/>
      <c r="O327" s="2" t="n"/>
      <c r="P327" s="2" t="n"/>
      <c r="Q327" s="4">
        <f>IF(OR(A327="",E327=""),"",IF(MAXIFS($E$2:$E$1001,$A$2:$A$1001,A327,$E$2:$E$1001,"&lt;"&amp;E327)=0,"",SUMIFS($G$2:$G$1001,$A$2:$A$1001,A327,$E$2:$E$1001,MAXIFS($E$2:$E$1001,$A$2:$A$1001,A327,$E$2:$E$1001,"&lt;"&amp;E327))))</f>
        <v/>
      </c>
      <c r="R327" s="9">
        <f>IF(OR(Q327="",G327=""),"",G327-Q327)</f>
        <v/>
      </c>
      <c r="S327" s="9">
        <f>IF(R327="","",SUMIFS($R$2:$R$1001,$A$2:$A$1001,A327,$E$2:$E$1001,"&lt;="&amp;E327))</f>
        <v/>
      </c>
      <c r="T327" s="5">
        <f>IF(A327="","",IF(R327="","initial",IF(ABS(R327)&lt;=ShiftThresholdDays,"unchanged",IF(R327&gt;0,"delayed","accelerated"))))</f>
        <v/>
      </c>
    </row>
    <row r="328">
      <c r="A328" s="2" t="n"/>
      <c r="B328" s="2" t="n"/>
      <c r="C328" s="2" t="n"/>
      <c r="D328" s="2" t="n"/>
      <c r="E328" s="2" t="n"/>
      <c r="F328" s="2" t="n"/>
      <c r="G328" s="3" t="n"/>
      <c r="H328" s="2" t="n"/>
      <c r="I328" s="3" t="n"/>
      <c r="J328" s="2" t="n"/>
      <c r="K328" s="2" t="n"/>
      <c r="L328" s="2" t="n"/>
      <c r="M328" s="2" t="n"/>
      <c r="N328" s="2" t="n"/>
      <c r="O328" s="2" t="n"/>
      <c r="P328" s="2" t="n"/>
      <c r="Q328" s="4">
        <f>IF(OR(A328="",E328=""),"",IF(MAXIFS($E$2:$E$1001,$A$2:$A$1001,A328,$E$2:$E$1001,"&lt;"&amp;E328)=0,"",SUMIFS($G$2:$G$1001,$A$2:$A$1001,A328,$E$2:$E$1001,MAXIFS($E$2:$E$1001,$A$2:$A$1001,A328,$E$2:$E$1001,"&lt;"&amp;E328))))</f>
        <v/>
      </c>
      <c r="R328" s="9">
        <f>IF(OR(Q328="",G328=""),"",G328-Q328)</f>
        <v/>
      </c>
      <c r="S328" s="9">
        <f>IF(R328="","",SUMIFS($R$2:$R$1001,$A$2:$A$1001,A328,$E$2:$E$1001,"&lt;="&amp;E328))</f>
        <v/>
      </c>
      <c r="T328" s="5">
        <f>IF(A328="","",IF(R328="","initial",IF(ABS(R328)&lt;=ShiftThresholdDays,"unchanged",IF(R328&gt;0,"delayed","accelerated"))))</f>
        <v/>
      </c>
    </row>
    <row r="329">
      <c r="A329" s="2" t="n"/>
      <c r="B329" s="2" t="n"/>
      <c r="C329" s="2" t="n"/>
      <c r="D329" s="2" t="n"/>
      <c r="E329" s="2" t="n"/>
      <c r="F329" s="2" t="n"/>
      <c r="G329" s="3" t="n"/>
      <c r="H329" s="2" t="n"/>
      <c r="I329" s="3" t="n"/>
      <c r="J329" s="2" t="n"/>
      <c r="K329" s="2" t="n"/>
      <c r="L329" s="2" t="n"/>
      <c r="M329" s="2" t="n"/>
      <c r="N329" s="2" t="n"/>
      <c r="O329" s="2" t="n"/>
      <c r="P329" s="2" t="n"/>
      <c r="Q329" s="4">
        <f>IF(OR(A329="",E329=""),"",IF(MAXIFS($E$2:$E$1001,$A$2:$A$1001,A329,$E$2:$E$1001,"&lt;"&amp;E329)=0,"",SUMIFS($G$2:$G$1001,$A$2:$A$1001,A329,$E$2:$E$1001,MAXIFS($E$2:$E$1001,$A$2:$A$1001,A329,$E$2:$E$1001,"&lt;"&amp;E329))))</f>
        <v/>
      </c>
      <c r="R329" s="9">
        <f>IF(OR(Q329="",G329=""),"",G329-Q329)</f>
        <v/>
      </c>
      <c r="S329" s="9">
        <f>IF(R329="","",SUMIFS($R$2:$R$1001,$A$2:$A$1001,A329,$E$2:$E$1001,"&lt;="&amp;E329))</f>
        <v/>
      </c>
      <c r="T329" s="5">
        <f>IF(A329="","",IF(R329="","initial",IF(ABS(R329)&lt;=ShiftThresholdDays,"unchanged",IF(R329&gt;0,"delayed","accelerated"))))</f>
        <v/>
      </c>
    </row>
    <row r="330">
      <c r="A330" s="2" t="n"/>
      <c r="B330" s="2" t="n"/>
      <c r="C330" s="2" t="n"/>
      <c r="D330" s="2" t="n"/>
      <c r="E330" s="2" t="n"/>
      <c r="F330" s="2" t="n"/>
      <c r="G330" s="3" t="n"/>
      <c r="H330" s="2" t="n"/>
      <c r="I330" s="3" t="n"/>
      <c r="J330" s="2" t="n"/>
      <c r="K330" s="2" t="n"/>
      <c r="L330" s="2" t="n"/>
      <c r="M330" s="2" t="n"/>
      <c r="N330" s="2" t="n"/>
      <c r="O330" s="2" t="n"/>
      <c r="P330" s="2" t="n"/>
      <c r="Q330" s="4">
        <f>IF(OR(A330="",E330=""),"",IF(MAXIFS($E$2:$E$1001,$A$2:$A$1001,A330,$E$2:$E$1001,"&lt;"&amp;E330)=0,"",SUMIFS($G$2:$G$1001,$A$2:$A$1001,A330,$E$2:$E$1001,MAXIFS($E$2:$E$1001,$A$2:$A$1001,A330,$E$2:$E$1001,"&lt;"&amp;E330))))</f>
        <v/>
      </c>
      <c r="R330" s="9">
        <f>IF(OR(Q330="",G330=""),"",G330-Q330)</f>
        <v/>
      </c>
      <c r="S330" s="9">
        <f>IF(R330="","",SUMIFS($R$2:$R$1001,$A$2:$A$1001,A330,$E$2:$E$1001,"&lt;="&amp;E330))</f>
        <v/>
      </c>
      <c r="T330" s="5">
        <f>IF(A330="","",IF(R330="","initial",IF(ABS(R330)&lt;=ShiftThresholdDays,"unchanged",IF(R330&gt;0,"delayed","accelerated"))))</f>
        <v/>
      </c>
    </row>
    <row r="331">
      <c r="A331" s="2" t="n"/>
      <c r="B331" s="2" t="n"/>
      <c r="C331" s="2" t="n"/>
      <c r="D331" s="2" t="n"/>
      <c r="E331" s="2" t="n"/>
      <c r="F331" s="2" t="n"/>
      <c r="G331" s="3" t="n"/>
      <c r="H331" s="2" t="n"/>
      <c r="I331" s="3" t="n"/>
      <c r="J331" s="2" t="n"/>
      <c r="K331" s="2" t="n"/>
      <c r="L331" s="2" t="n"/>
      <c r="M331" s="2" t="n"/>
      <c r="N331" s="2" t="n"/>
      <c r="O331" s="2" t="n"/>
      <c r="P331" s="2" t="n"/>
      <c r="Q331" s="4">
        <f>IF(OR(A331="",E331=""),"",IF(MAXIFS($E$2:$E$1001,$A$2:$A$1001,A331,$E$2:$E$1001,"&lt;"&amp;E331)=0,"",SUMIFS($G$2:$G$1001,$A$2:$A$1001,A331,$E$2:$E$1001,MAXIFS($E$2:$E$1001,$A$2:$A$1001,A331,$E$2:$E$1001,"&lt;"&amp;E331))))</f>
        <v/>
      </c>
      <c r="R331" s="9">
        <f>IF(OR(Q331="",G331=""),"",G331-Q331)</f>
        <v/>
      </c>
      <c r="S331" s="9">
        <f>IF(R331="","",SUMIFS($R$2:$R$1001,$A$2:$A$1001,A331,$E$2:$E$1001,"&lt;="&amp;E331))</f>
        <v/>
      </c>
      <c r="T331" s="5">
        <f>IF(A331="","",IF(R331="","initial",IF(ABS(R331)&lt;=ShiftThresholdDays,"unchanged",IF(R331&gt;0,"delayed","accelerated"))))</f>
        <v/>
      </c>
    </row>
    <row r="332">
      <c r="A332" s="2" t="n"/>
      <c r="B332" s="2" t="n"/>
      <c r="C332" s="2" t="n"/>
      <c r="D332" s="2" t="n"/>
      <c r="E332" s="2" t="n"/>
      <c r="F332" s="2" t="n"/>
      <c r="G332" s="3" t="n"/>
      <c r="H332" s="2" t="n"/>
      <c r="I332" s="3" t="n"/>
      <c r="J332" s="2" t="n"/>
      <c r="K332" s="2" t="n"/>
      <c r="L332" s="2" t="n"/>
      <c r="M332" s="2" t="n"/>
      <c r="N332" s="2" t="n"/>
      <c r="O332" s="2" t="n"/>
      <c r="P332" s="2" t="n"/>
      <c r="Q332" s="4">
        <f>IF(OR(A332="",E332=""),"",IF(MAXIFS($E$2:$E$1001,$A$2:$A$1001,A332,$E$2:$E$1001,"&lt;"&amp;E332)=0,"",SUMIFS($G$2:$G$1001,$A$2:$A$1001,A332,$E$2:$E$1001,MAXIFS($E$2:$E$1001,$A$2:$A$1001,A332,$E$2:$E$1001,"&lt;"&amp;E332))))</f>
        <v/>
      </c>
      <c r="R332" s="9">
        <f>IF(OR(Q332="",G332=""),"",G332-Q332)</f>
        <v/>
      </c>
      <c r="S332" s="9">
        <f>IF(R332="","",SUMIFS($R$2:$R$1001,$A$2:$A$1001,A332,$E$2:$E$1001,"&lt;="&amp;E332))</f>
        <v/>
      </c>
      <c r="T332" s="5">
        <f>IF(A332="","",IF(R332="","initial",IF(ABS(R332)&lt;=ShiftThresholdDays,"unchanged",IF(R332&gt;0,"delayed","accelerated"))))</f>
        <v/>
      </c>
    </row>
    <row r="333">
      <c r="A333" s="2" t="n"/>
      <c r="B333" s="2" t="n"/>
      <c r="C333" s="2" t="n"/>
      <c r="D333" s="2" t="n"/>
      <c r="E333" s="2" t="n"/>
      <c r="F333" s="2" t="n"/>
      <c r="G333" s="3" t="n"/>
      <c r="H333" s="2" t="n"/>
      <c r="I333" s="3" t="n"/>
      <c r="J333" s="2" t="n"/>
      <c r="K333" s="2" t="n"/>
      <c r="L333" s="2" t="n"/>
      <c r="M333" s="2" t="n"/>
      <c r="N333" s="2" t="n"/>
      <c r="O333" s="2" t="n"/>
      <c r="P333" s="2" t="n"/>
      <c r="Q333" s="4">
        <f>IF(OR(A333="",E333=""),"",IF(MAXIFS($E$2:$E$1001,$A$2:$A$1001,A333,$E$2:$E$1001,"&lt;"&amp;E333)=0,"",SUMIFS($G$2:$G$1001,$A$2:$A$1001,A333,$E$2:$E$1001,MAXIFS($E$2:$E$1001,$A$2:$A$1001,A333,$E$2:$E$1001,"&lt;"&amp;E333))))</f>
        <v/>
      </c>
      <c r="R333" s="9">
        <f>IF(OR(Q333="",G333=""),"",G333-Q333)</f>
        <v/>
      </c>
      <c r="S333" s="9">
        <f>IF(R333="","",SUMIFS($R$2:$R$1001,$A$2:$A$1001,A333,$E$2:$E$1001,"&lt;="&amp;E333))</f>
        <v/>
      </c>
      <c r="T333" s="5">
        <f>IF(A333="","",IF(R333="","initial",IF(ABS(R333)&lt;=ShiftThresholdDays,"unchanged",IF(R333&gt;0,"delayed","accelerated"))))</f>
        <v/>
      </c>
    </row>
    <row r="334">
      <c r="A334" s="2" t="n"/>
      <c r="B334" s="2" t="n"/>
      <c r="C334" s="2" t="n"/>
      <c r="D334" s="2" t="n"/>
      <c r="E334" s="2" t="n"/>
      <c r="F334" s="2" t="n"/>
      <c r="G334" s="3" t="n"/>
      <c r="H334" s="2" t="n"/>
      <c r="I334" s="3" t="n"/>
      <c r="J334" s="2" t="n"/>
      <c r="K334" s="2" t="n"/>
      <c r="L334" s="2" t="n"/>
      <c r="M334" s="2" t="n"/>
      <c r="N334" s="2" t="n"/>
      <c r="O334" s="2" t="n"/>
      <c r="P334" s="2" t="n"/>
      <c r="Q334" s="4">
        <f>IF(OR(A334="",E334=""),"",IF(MAXIFS($E$2:$E$1001,$A$2:$A$1001,A334,$E$2:$E$1001,"&lt;"&amp;E334)=0,"",SUMIFS($G$2:$G$1001,$A$2:$A$1001,A334,$E$2:$E$1001,MAXIFS($E$2:$E$1001,$A$2:$A$1001,A334,$E$2:$E$1001,"&lt;"&amp;E334))))</f>
        <v/>
      </c>
      <c r="R334" s="9">
        <f>IF(OR(Q334="",G334=""),"",G334-Q334)</f>
        <v/>
      </c>
      <c r="S334" s="9">
        <f>IF(R334="","",SUMIFS($R$2:$R$1001,$A$2:$A$1001,A334,$E$2:$E$1001,"&lt;="&amp;E334))</f>
        <v/>
      </c>
      <c r="T334" s="5">
        <f>IF(A334="","",IF(R334="","initial",IF(ABS(R334)&lt;=ShiftThresholdDays,"unchanged",IF(R334&gt;0,"delayed","accelerated"))))</f>
        <v/>
      </c>
    </row>
    <row r="335">
      <c r="A335" s="2" t="n"/>
      <c r="B335" s="2" t="n"/>
      <c r="C335" s="2" t="n"/>
      <c r="D335" s="2" t="n"/>
      <c r="E335" s="2" t="n"/>
      <c r="F335" s="2" t="n"/>
      <c r="G335" s="3" t="n"/>
      <c r="H335" s="2" t="n"/>
      <c r="I335" s="3" t="n"/>
      <c r="J335" s="2" t="n"/>
      <c r="K335" s="2" t="n"/>
      <c r="L335" s="2" t="n"/>
      <c r="M335" s="2" t="n"/>
      <c r="N335" s="2" t="n"/>
      <c r="O335" s="2" t="n"/>
      <c r="P335" s="2" t="n"/>
      <c r="Q335" s="4">
        <f>IF(OR(A335="",E335=""),"",IF(MAXIFS($E$2:$E$1001,$A$2:$A$1001,A335,$E$2:$E$1001,"&lt;"&amp;E335)=0,"",SUMIFS($G$2:$G$1001,$A$2:$A$1001,A335,$E$2:$E$1001,MAXIFS($E$2:$E$1001,$A$2:$A$1001,A335,$E$2:$E$1001,"&lt;"&amp;E335))))</f>
        <v/>
      </c>
      <c r="R335" s="9">
        <f>IF(OR(Q335="",G335=""),"",G335-Q335)</f>
        <v/>
      </c>
      <c r="S335" s="9">
        <f>IF(R335="","",SUMIFS($R$2:$R$1001,$A$2:$A$1001,A335,$E$2:$E$1001,"&lt;="&amp;E335))</f>
        <v/>
      </c>
      <c r="T335" s="5">
        <f>IF(A335="","",IF(R335="","initial",IF(ABS(R335)&lt;=ShiftThresholdDays,"unchanged",IF(R335&gt;0,"delayed","accelerated"))))</f>
        <v/>
      </c>
    </row>
    <row r="336">
      <c r="A336" s="2" t="n"/>
      <c r="B336" s="2" t="n"/>
      <c r="C336" s="2" t="n"/>
      <c r="D336" s="2" t="n"/>
      <c r="E336" s="2" t="n"/>
      <c r="F336" s="2" t="n"/>
      <c r="G336" s="3" t="n"/>
      <c r="H336" s="2" t="n"/>
      <c r="I336" s="3" t="n"/>
      <c r="J336" s="2" t="n"/>
      <c r="K336" s="2" t="n"/>
      <c r="L336" s="2" t="n"/>
      <c r="M336" s="2" t="n"/>
      <c r="N336" s="2" t="n"/>
      <c r="O336" s="2" t="n"/>
      <c r="P336" s="2" t="n"/>
      <c r="Q336" s="4">
        <f>IF(OR(A336="",E336=""),"",IF(MAXIFS($E$2:$E$1001,$A$2:$A$1001,A336,$E$2:$E$1001,"&lt;"&amp;E336)=0,"",SUMIFS($G$2:$G$1001,$A$2:$A$1001,A336,$E$2:$E$1001,MAXIFS($E$2:$E$1001,$A$2:$A$1001,A336,$E$2:$E$1001,"&lt;"&amp;E336))))</f>
        <v/>
      </c>
      <c r="R336" s="9">
        <f>IF(OR(Q336="",G336=""),"",G336-Q336)</f>
        <v/>
      </c>
      <c r="S336" s="9">
        <f>IF(R336="","",SUMIFS($R$2:$R$1001,$A$2:$A$1001,A336,$E$2:$E$1001,"&lt;="&amp;E336))</f>
        <v/>
      </c>
      <c r="T336" s="5">
        <f>IF(A336="","",IF(R336="","initial",IF(ABS(R336)&lt;=ShiftThresholdDays,"unchanged",IF(R336&gt;0,"delayed","accelerated"))))</f>
        <v/>
      </c>
    </row>
    <row r="337">
      <c r="A337" s="2" t="n"/>
      <c r="B337" s="2" t="n"/>
      <c r="C337" s="2" t="n"/>
      <c r="D337" s="2" t="n"/>
      <c r="E337" s="2" t="n"/>
      <c r="F337" s="2" t="n"/>
      <c r="G337" s="3" t="n"/>
      <c r="H337" s="2" t="n"/>
      <c r="I337" s="3" t="n"/>
      <c r="J337" s="2" t="n"/>
      <c r="K337" s="2" t="n"/>
      <c r="L337" s="2" t="n"/>
      <c r="M337" s="2" t="n"/>
      <c r="N337" s="2" t="n"/>
      <c r="O337" s="2" t="n"/>
      <c r="P337" s="2" t="n"/>
      <c r="Q337" s="4">
        <f>IF(OR(A337="",E337=""),"",IF(MAXIFS($E$2:$E$1001,$A$2:$A$1001,A337,$E$2:$E$1001,"&lt;"&amp;E337)=0,"",SUMIFS($G$2:$G$1001,$A$2:$A$1001,A337,$E$2:$E$1001,MAXIFS($E$2:$E$1001,$A$2:$A$1001,A337,$E$2:$E$1001,"&lt;"&amp;E337))))</f>
        <v/>
      </c>
      <c r="R337" s="9">
        <f>IF(OR(Q337="",G337=""),"",G337-Q337)</f>
        <v/>
      </c>
      <c r="S337" s="9">
        <f>IF(R337="","",SUMIFS($R$2:$R$1001,$A$2:$A$1001,A337,$E$2:$E$1001,"&lt;="&amp;E337))</f>
        <v/>
      </c>
      <c r="T337" s="5">
        <f>IF(A337="","",IF(R337="","initial",IF(ABS(R337)&lt;=ShiftThresholdDays,"unchanged",IF(R337&gt;0,"delayed","accelerated"))))</f>
        <v/>
      </c>
    </row>
    <row r="338">
      <c r="A338" s="2" t="n"/>
      <c r="B338" s="2" t="n"/>
      <c r="C338" s="2" t="n"/>
      <c r="D338" s="2" t="n"/>
      <c r="E338" s="2" t="n"/>
      <c r="F338" s="2" t="n"/>
      <c r="G338" s="3" t="n"/>
      <c r="H338" s="2" t="n"/>
      <c r="I338" s="3" t="n"/>
      <c r="J338" s="2" t="n"/>
      <c r="K338" s="2" t="n"/>
      <c r="L338" s="2" t="n"/>
      <c r="M338" s="2" t="n"/>
      <c r="N338" s="2" t="n"/>
      <c r="O338" s="2" t="n"/>
      <c r="P338" s="2" t="n"/>
      <c r="Q338" s="4">
        <f>IF(OR(A338="",E338=""),"",IF(MAXIFS($E$2:$E$1001,$A$2:$A$1001,A338,$E$2:$E$1001,"&lt;"&amp;E338)=0,"",SUMIFS($G$2:$G$1001,$A$2:$A$1001,A338,$E$2:$E$1001,MAXIFS($E$2:$E$1001,$A$2:$A$1001,A338,$E$2:$E$1001,"&lt;"&amp;E338))))</f>
        <v/>
      </c>
      <c r="R338" s="9">
        <f>IF(OR(Q338="",G338=""),"",G338-Q338)</f>
        <v/>
      </c>
      <c r="S338" s="9">
        <f>IF(R338="","",SUMIFS($R$2:$R$1001,$A$2:$A$1001,A338,$E$2:$E$1001,"&lt;="&amp;E338))</f>
        <v/>
      </c>
      <c r="T338" s="5">
        <f>IF(A338="","",IF(R338="","initial",IF(ABS(R338)&lt;=ShiftThresholdDays,"unchanged",IF(R338&gt;0,"delayed","accelerated"))))</f>
        <v/>
      </c>
    </row>
    <row r="339">
      <c r="A339" s="2" t="n"/>
      <c r="B339" s="2" t="n"/>
      <c r="C339" s="2" t="n"/>
      <c r="D339" s="2" t="n"/>
      <c r="E339" s="2" t="n"/>
      <c r="F339" s="2" t="n"/>
      <c r="G339" s="3" t="n"/>
      <c r="H339" s="2" t="n"/>
      <c r="I339" s="3" t="n"/>
      <c r="J339" s="2" t="n"/>
      <c r="K339" s="2" t="n"/>
      <c r="L339" s="2" t="n"/>
      <c r="M339" s="2" t="n"/>
      <c r="N339" s="2" t="n"/>
      <c r="O339" s="2" t="n"/>
      <c r="P339" s="2" t="n"/>
      <c r="Q339" s="4">
        <f>IF(OR(A339="",E339=""),"",IF(MAXIFS($E$2:$E$1001,$A$2:$A$1001,A339,$E$2:$E$1001,"&lt;"&amp;E339)=0,"",SUMIFS($G$2:$G$1001,$A$2:$A$1001,A339,$E$2:$E$1001,MAXIFS($E$2:$E$1001,$A$2:$A$1001,A339,$E$2:$E$1001,"&lt;"&amp;E339))))</f>
        <v/>
      </c>
      <c r="R339" s="9">
        <f>IF(OR(Q339="",G339=""),"",G339-Q339)</f>
        <v/>
      </c>
      <c r="S339" s="9">
        <f>IF(R339="","",SUMIFS($R$2:$R$1001,$A$2:$A$1001,A339,$E$2:$E$1001,"&lt;="&amp;E339))</f>
        <v/>
      </c>
      <c r="T339" s="5">
        <f>IF(A339="","",IF(R339="","initial",IF(ABS(R339)&lt;=ShiftThresholdDays,"unchanged",IF(R339&gt;0,"delayed","accelerated"))))</f>
        <v/>
      </c>
    </row>
    <row r="340">
      <c r="A340" s="2" t="n"/>
      <c r="B340" s="2" t="n"/>
      <c r="C340" s="2" t="n"/>
      <c r="D340" s="2" t="n"/>
      <c r="E340" s="2" t="n"/>
      <c r="F340" s="2" t="n"/>
      <c r="G340" s="3" t="n"/>
      <c r="H340" s="2" t="n"/>
      <c r="I340" s="3" t="n"/>
      <c r="J340" s="2" t="n"/>
      <c r="K340" s="2" t="n"/>
      <c r="L340" s="2" t="n"/>
      <c r="M340" s="2" t="n"/>
      <c r="N340" s="2" t="n"/>
      <c r="O340" s="2" t="n"/>
      <c r="P340" s="2" t="n"/>
      <c r="Q340" s="4">
        <f>IF(OR(A340="",E340=""),"",IF(MAXIFS($E$2:$E$1001,$A$2:$A$1001,A340,$E$2:$E$1001,"&lt;"&amp;E340)=0,"",SUMIFS($G$2:$G$1001,$A$2:$A$1001,A340,$E$2:$E$1001,MAXIFS($E$2:$E$1001,$A$2:$A$1001,A340,$E$2:$E$1001,"&lt;"&amp;E340))))</f>
        <v/>
      </c>
      <c r="R340" s="9">
        <f>IF(OR(Q340="",G340=""),"",G340-Q340)</f>
        <v/>
      </c>
      <c r="S340" s="9">
        <f>IF(R340="","",SUMIFS($R$2:$R$1001,$A$2:$A$1001,A340,$E$2:$E$1001,"&lt;="&amp;E340))</f>
        <v/>
      </c>
      <c r="T340" s="5">
        <f>IF(A340="","",IF(R340="","initial",IF(ABS(R340)&lt;=ShiftThresholdDays,"unchanged",IF(R340&gt;0,"delayed","accelerated"))))</f>
        <v/>
      </c>
    </row>
    <row r="341">
      <c r="A341" s="2" t="n"/>
      <c r="B341" s="2" t="n"/>
      <c r="C341" s="2" t="n"/>
      <c r="D341" s="2" t="n"/>
      <c r="E341" s="2" t="n"/>
      <c r="F341" s="2" t="n"/>
      <c r="G341" s="3" t="n"/>
      <c r="H341" s="2" t="n"/>
      <c r="I341" s="3" t="n"/>
      <c r="J341" s="2" t="n"/>
      <c r="K341" s="2" t="n"/>
      <c r="L341" s="2" t="n"/>
      <c r="M341" s="2" t="n"/>
      <c r="N341" s="2" t="n"/>
      <c r="O341" s="2" t="n"/>
      <c r="P341" s="2" t="n"/>
      <c r="Q341" s="4">
        <f>IF(OR(A341="",E341=""),"",IF(MAXIFS($E$2:$E$1001,$A$2:$A$1001,A341,$E$2:$E$1001,"&lt;"&amp;E341)=0,"",SUMIFS($G$2:$G$1001,$A$2:$A$1001,A341,$E$2:$E$1001,MAXIFS($E$2:$E$1001,$A$2:$A$1001,A341,$E$2:$E$1001,"&lt;"&amp;E341))))</f>
        <v/>
      </c>
      <c r="R341" s="9">
        <f>IF(OR(Q341="",G341=""),"",G341-Q341)</f>
        <v/>
      </c>
      <c r="S341" s="9">
        <f>IF(R341="","",SUMIFS($R$2:$R$1001,$A$2:$A$1001,A341,$E$2:$E$1001,"&lt;="&amp;E341))</f>
        <v/>
      </c>
      <c r="T341" s="5">
        <f>IF(A341="","",IF(R341="","initial",IF(ABS(R341)&lt;=ShiftThresholdDays,"unchanged",IF(R341&gt;0,"delayed","accelerated"))))</f>
        <v/>
      </c>
    </row>
    <row r="342">
      <c r="A342" s="2" t="n"/>
      <c r="B342" s="2" t="n"/>
      <c r="C342" s="2" t="n"/>
      <c r="D342" s="2" t="n"/>
      <c r="E342" s="2" t="n"/>
      <c r="F342" s="2" t="n"/>
      <c r="G342" s="3" t="n"/>
      <c r="H342" s="2" t="n"/>
      <c r="I342" s="3" t="n"/>
      <c r="J342" s="2" t="n"/>
      <c r="K342" s="2" t="n"/>
      <c r="L342" s="2" t="n"/>
      <c r="M342" s="2" t="n"/>
      <c r="N342" s="2" t="n"/>
      <c r="O342" s="2" t="n"/>
      <c r="P342" s="2" t="n"/>
      <c r="Q342" s="4">
        <f>IF(OR(A342="",E342=""),"",IF(MAXIFS($E$2:$E$1001,$A$2:$A$1001,A342,$E$2:$E$1001,"&lt;"&amp;E342)=0,"",SUMIFS($G$2:$G$1001,$A$2:$A$1001,A342,$E$2:$E$1001,MAXIFS($E$2:$E$1001,$A$2:$A$1001,A342,$E$2:$E$1001,"&lt;"&amp;E342))))</f>
        <v/>
      </c>
      <c r="R342" s="9">
        <f>IF(OR(Q342="",G342=""),"",G342-Q342)</f>
        <v/>
      </c>
      <c r="S342" s="9">
        <f>IF(R342="","",SUMIFS($R$2:$R$1001,$A$2:$A$1001,A342,$E$2:$E$1001,"&lt;="&amp;E342))</f>
        <v/>
      </c>
      <c r="T342" s="5">
        <f>IF(A342="","",IF(R342="","initial",IF(ABS(R342)&lt;=ShiftThresholdDays,"unchanged",IF(R342&gt;0,"delayed","accelerated"))))</f>
        <v/>
      </c>
    </row>
    <row r="343">
      <c r="A343" s="2" t="n"/>
      <c r="B343" s="2" t="n"/>
      <c r="C343" s="2" t="n"/>
      <c r="D343" s="2" t="n"/>
      <c r="E343" s="2" t="n"/>
      <c r="F343" s="2" t="n"/>
      <c r="G343" s="3" t="n"/>
      <c r="H343" s="2" t="n"/>
      <c r="I343" s="3" t="n"/>
      <c r="J343" s="2" t="n"/>
      <c r="K343" s="2" t="n"/>
      <c r="L343" s="2" t="n"/>
      <c r="M343" s="2" t="n"/>
      <c r="N343" s="2" t="n"/>
      <c r="O343" s="2" t="n"/>
      <c r="P343" s="2" t="n"/>
      <c r="Q343" s="4">
        <f>IF(OR(A343="",E343=""),"",IF(MAXIFS($E$2:$E$1001,$A$2:$A$1001,A343,$E$2:$E$1001,"&lt;"&amp;E343)=0,"",SUMIFS($G$2:$G$1001,$A$2:$A$1001,A343,$E$2:$E$1001,MAXIFS($E$2:$E$1001,$A$2:$A$1001,A343,$E$2:$E$1001,"&lt;"&amp;E343))))</f>
        <v/>
      </c>
      <c r="R343" s="9">
        <f>IF(OR(Q343="",G343=""),"",G343-Q343)</f>
        <v/>
      </c>
      <c r="S343" s="9">
        <f>IF(R343="","",SUMIFS($R$2:$R$1001,$A$2:$A$1001,A343,$E$2:$E$1001,"&lt;="&amp;E343))</f>
        <v/>
      </c>
      <c r="T343" s="5">
        <f>IF(A343="","",IF(R343="","initial",IF(ABS(R343)&lt;=ShiftThresholdDays,"unchanged",IF(R343&gt;0,"delayed","accelerated"))))</f>
        <v/>
      </c>
    </row>
    <row r="344">
      <c r="A344" s="2" t="n"/>
      <c r="B344" s="2" t="n"/>
      <c r="C344" s="2" t="n"/>
      <c r="D344" s="2" t="n"/>
      <c r="E344" s="2" t="n"/>
      <c r="F344" s="2" t="n"/>
      <c r="G344" s="3" t="n"/>
      <c r="H344" s="2" t="n"/>
      <c r="I344" s="3" t="n"/>
      <c r="J344" s="2" t="n"/>
      <c r="K344" s="2" t="n"/>
      <c r="L344" s="2" t="n"/>
      <c r="M344" s="2" t="n"/>
      <c r="N344" s="2" t="n"/>
      <c r="O344" s="2" t="n"/>
      <c r="P344" s="2" t="n"/>
      <c r="Q344" s="4">
        <f>IF(OR(A344="",E344=""),"",IF(MAXIFS($E$2:$E$1001,$A$2:$A$1001,A344,$E$2:$E$1001,"&lt;"&amp;E344)=0,"",SUMIFS($G$2:$G$1001,$A$2:$A$1001,A344,$E$2:$E$1001,MAXIFS($E$2:$E$1001,$A$2:$A$1001,A344,$E$2:$E$1001,"&lt;"&amp;E344))))</f>
        <v/>
      </c>
      <c r="R344" s="9">
        <f>IF(OR(Q344="",G344=""),"",G344-Q344)</f>
        <v/>
      </c>
      <c r="S344" s="9">
        <f>IF(R344="","",SUMIFS($R$2:$R$1001,$A$2:$A$1001,A344,$E$2:$E$1001,"&lt;="&amp;E344))</f>
        <v/>
      </c>
      <c r="T344" s="5">
        <f>IF(A344="","",IF(R344="","initial",IF(ABS(R344)&lt;=ShiftThresholdDays,"unchanged",IF(R344&gt;0,"delayed","accelerated"))))</f>
        <v/>
      </c>
    </row>
    <row r="345">
      <c r="A345" s="2" t="n"/>
      <c r="B345" s="2" t="n"/>
      <c r="C345" s="2" t="n"/>
      <c r="D345" s="2" t="n"/>
      <c r="E345" s="2" t="n"/>
      <c r="F345" s="2" t="n"/>
      <c r="G345" s="3" t="n"/>
      <c r="H345" s="2" t="n"/>
      <c r="I345" s="3" t="n"/>
      <c r="J345" s="2" t="n"/>
      <c r="K345" s="2" t="n"/>
      <c r="L345" s="2" t="n"/>
      <c r="M345" s="2" t="n"/>
      <c r="N345" s="2" t="n"/>
      <c r="O345" s="2" t="n"/>
      <c r="P345" s="2" t="n"/>
      <c r="Q345" s="4">
        <f>IF(OR(A345="",E345=""),"",IF(MAXIFS($E$2:$E$1001,$A$2:$A$1001,A345,$E$2:$E$1001,"&lt;"&amp;E345)=0,"",SUMIFS($G$2:$G$1001,$A$2:$A$1001,A345,$E$2:$E$1001,MAXIFS($E$2:$E$1001,$A$2:$A$1001,A345,$E$2:$E$1001,"&lt;"&amp;E345))))</f>
        <v/>
      </c>
      <c r="R345" s="9">
        <f>IF(OR(Q345="",G345=""),"",G345-Q345)</f>
        <v/>
      </c>
      <c r="S345" s="9">
        <f>IF(R345="","",SUMIFS($R$2:$R$1001,$A$2:$A$1001,A345,$E$2:$E$1001,"&lt;="&amp;E345))</f>
        <v/>
      </c>
      <c r="T345" s="5">
        <f>IF(A345="","",IF(R345="","initial",IF(ABS(R345)&lt;=ShiftThresholdDays,"unchanged",IF(R345&gt;0,"delayed","accelerated"))))</f>
        <v/>
      </c>
    </row>
    <row r="346">
      <c r="A346" s="2" t="n"/>
      <c r="B346" s="2" t="n"/>
      <c r="C346" s="2" t="n"/>
      <c r="D346" s="2" t="n"/>
      <c r="E346" s="2" t="n"/>
      <c r="F346" s="2" t="n"/>
      <c r="G346" s="3" t="n"/>
      <c r="H346" s="2" t="n"/>
      <c r="I346" s="3" t="n"/>
      <c r="J346" s="2" t="n"/>
      <c r="K346" s="2" t="n"/>
      <c r="L346" s="2" t="n"/>
      <c r="M346" s="2" t="n"/>
      <c r="N346" s="2" t="n"/>
      <c r="O346" s="2" t="n"/>
      <c r="P346" s="2" t="n"/>
      <c r="Q346" s="4">
        <f>IF(OR(A346="",E346=""),"",IF(MAXIFS($E$2:$E$1001,$A$2:$A$1001,A346,$E$2:$E$1001,"&lt;"&amp;E346)=0,"",SUMIFS($G$2:$G$1001,$A$2:$A$1001,A346,$E$2:$E$1001,MAXIFS($E$2:$E$1001,$A$2:$A$1001,A346,$E$2:$E$1001,"&lt;"&amp;E346))))</f>
        <v/>
      </c>
      <c r="R346" s="9">
        <f>IF(OR(Q346="",G346=""),"",G346-Q346)</f>
        <v/>
      </c>
      <c r="S346" s="9">
        <f>IF(R346="","",SUMIFS($R$2:$R$1001,$A$2:$A$1001,A346,$E$2:$E$1001,"&lt;="&amp;E346))</f>
        <v/>
      </c>
      <c r="T346" s="5">
        <f>IF(A346="","",IF(R346="","initial",IF(ABS(R346)&lt;=ShiftThresholdDays,"unchanged",IF(R346&gt;0,"delayed","accelerated"))))</f>
        <v/>
      </c>
    </row>
    <row r="347">
      <c r="A347" s="2" t="n"/>
      <c r="B347" s="2" t="n"/>
      <c r="C347" s="2" t="n"/>
      <c r="D347" s="2" t="n"/>
      <c r="E347" s="2" t="n"/>
      <c r="F347" s="2" t="n"/>
      <c r="G347" s="3" t="n"/>
      <c r="H347" s="2" t="n"/>
      <c r="I347" s="3" t="n"/>
      <c r="J347" s="2" t="n"/>
      <c r="K347" s="2" t="n"/>
      <c r="L347" s="2" t="n"/>
      <c r="M347" s="2" t="n"/>
      <c r="N347" s="2" t="n"/>
      <c r="O347" s="2" t="n"/>
      <c r="P347" s="2" t="n"/>
      <c r="Q347" s="4">
        <f>IF(OR(A347="",E347=""),"",IF(MAXIFS($E$2:$E$1001,$A$2:$A$1001,A347,$E$2:$E$1001,"&lt;"&amp;E347)=0,"",SUMIFS($G$2:$G$1001,$A$2:$A$1001,A347,$E$2:$E$1001,MAXIFS($E$2:$E$1001,$A$2:$A$1001,A347,$E$2:$E$1001,"&lt;"&amp;E347))))</f>
        <v/>
      </c>
      <c r="R347" s="9">
        <f>IF(OR(Q347="",G347=""),"",G347-Q347)</f>
        <v/>
      </c>
      <c r="S347" s="9">
        <f>IF(R347="","",SUMIFS($R$2:$R$1001,$A$2:$A$1001,A347,$E$2:$E$1001,"&lt;="&amp;E347))</f>
        <v/>
      </c>
      <c r="T347" s="5">
        <f>IF(A347="","",IF(R347="","initial",IF(ABS(R347)&lt;=ShiftThresholdDays,"unchanged",IF(R347&gt;0,"delayed","accelerated"))))</f>
        <v/>
      </c>
    </row>
    <row r="348">
      <c r="A348" s="2" t="n"/>
      <c r="B348" s="2" t="n"/>
      <c r="C348" s="2" t="n"/>
      <c r="D348" s="2" t="n"/>
      <c r="E348" s="2" t="n"/>
      <c r="F348" s="2" t="n"/>
      <c r="G348" s="3" t="n"/>
      <c r="H348" s="2" t="n"/>
      <c r="I348" s="3" t="n"/>
      <c r="J348" s="2" t="n"/>
      <c r="K348" s="2" t="n"/>
      <c r="L348" s="2" t="n"/>
      <c r="M348" s="2" t="n"/>
      <c r="N348" s="2" t="n"/>
      <c r="O348" s="2" t="n"/>
      <c r="P348" s="2" t="n"/>
      <c r="Q348" s="4">
        <f>IF(OR(A348="",E348=""),"",IF(MAXIFS($E$2:$E$1001,$A$2:$A$1001,A348,$E$2:$E$1001,"&lt;"&amp;E348)=0,"",SUMIFS($G$2:$G$1001,$A$2:$A$1001,A348,$E$2:$E$1001,MAXIFS($E$2:$E$1001,$A$2:$A$1001,A348,$E$2:$E$1001,"&lt;"&amp;E348))))</f>
        <v/>
      </c>
      <c r="R348" s="9">
        <f>IF(OR(Q348="",G348=""),"",G348-Q348)</f>
        <v/>
      </c>
      <c r="S348" s="9">
        <f>IF(R348="","",SUMIFS($R$2:$R$1001,$A$2:$A$1001,A348,$E$2:$E$1001,"&lt;="&amp;E348))</f>
        <v/>
      </c>
      <c r="T348" s="5">
        <f>IF(A348="","",IF(R348="","initial",IF(ABS(R348)&lt;=ShiftThresholdDays,"unchanged",IF(R348&gt;0,"delayed","accelerated"))))</f>
        <v/>
      </c>
    </row>
    <row r="349">
      <c r="A349" s="2" t="n"/>
      <c r="B349" s="2" t="n"/>
      <c r="C349" s="2" t="n"/>
      <c r="D349" s="2" t="n"/>
      <c r="E349" s="2" t="n"/>
      <c r="F349" s="2" t="n"/>
      <c r="G349" s="3" t="n"/>
      <c r="H349" s="2" t="n"/>
      <c r="I349" s="3" t="n"/>
      <c r="J349" s="2" t="n"/>
      <c r="K349" s="2" t="n"/>
      <c r="L349" s="2" t="n"/>
      <c r="M349" s="2" t="n"/>
      <c r="N349" s="2" t="n"/>
      <c r="O349" s="2" t="n"/>
      <c r="P349" s="2" t="n"/>
      <c r="Q349" s="4">
        <f>IF(OR(A349="",E349=""),"",IF(MAXIFS($E$2:$E$1001,$A$2:$A$1001,A349,$E$2:$E$1001,"&lt;"&amp;E349)=0,"",SUMIFS($G$2:$G$1001,$A$2:$A$1001,A349,$E$2:$E$1001,MAXIFS($E$2:$E$1001,$A$2:$A$1001,A349,$E$2:$E$1001,"&lt;"&amp;E349))))</f>
        <v/>
      </c>
      <c r="R349" s="9">
        <f>IF(OR(Q349="",G349=""),"",G349-Q349)</f>
        <v/>
      </c>
      <c r="S349" s="9">
        <f>IF(R349="","",SUMIFS($R$2:$R$1001,$A$2:$A$1001,A349,$E$2:$E$1001,"&lt;="&amp;E349))</f>
        <v/>
      </c>
      <c r="T349" s="5">
        <f>IF(A349="","",IF(R349="","initial",IF(ABS(R349)&lt;=ShiftThresholdDays,"unchanged",IF(R349&gt;0,"delayed","accelerated"))))</f>
        <v/>
      </c>
    </row>
    <row r="350">
      <c r="A350" s="2" t="n"/>
      <c r="B350" s="2" t="n"/>
      <c r="C350" s="2" t="n"/>
      <c r="D350" s="2" t="n"/>
      <c r="E350" s="2" t="n"/>
      <c r="F350" s="2" t="n"/>
      <c r="G350" s="3" t="n"/>
      <c r="H350" s="2" t="n"/>
      <c r="I350" s="3" t="n"/>
      <c r="J350" s="2" t="n"/>
      <c r="K350" s="2" t="n"/>
      <c r="L350" s="2" t="n"/>
      <c r="M350" s="2" t="n"/>
      <c r="N350" s="2" t="n"/>
      <c r="O350" s="2" t="n"/>
      <c r="P350" s="2" t="n"/>
      <c r="Q350" s="4">
        <f>IF(OR(A350="",E350=""),"",IF(MAXIFS($E$2:$E$1001,$A$2:$A$1001,A350,$E$2:$E$1001,"&lt;"&amp;E350)=0,"",SUMIFS($G$2:$G$1001,$A$2:$A$1001,A350,$E$2:$E$1001,MAXIFS($E$2:$E$1001,$A$2:$A$1001,A350,$E$2:$E$1001,"&lt;"&amp;E350))))</f>
        <v/>
      </c>
      <c r="R350" s="9">
        <f>IF(OR(Q350="",G350=""),"",G350-Q350)</f>
        <v/>
      </c>
      <c r="S350" s="9">
        <f>IF(R350="","",SUMIFS($R$2:$R$1001,$A$2:$A$1001,A350,$E$2:$E$1001,"&lt;="&amp;E350))</f>
        <v/>
      </c>
      <c r="T350" s="5">
        <f>IF(A350="","",IF(R350="","initial",IF(ABS(R350)&lt;=ShiftThresholdDays,"unchanged",IF(R350&gt;0,"delayed","accelerated"))))</f>
        <v/>
      </c>
    </row>
    <row r="351">
      <c r="A351" s="2" t="n"/>
      <c r="B351" s="2" t="n"/>
      <c r="C351" s="2" t="n"/>
      <c r="D351" s="2" t="n"/>
      <c r="E351" s="2" t="n"/>
      <c r="F351" s="2" t="n"/>
      <c r="G351" s="3" t="n"/>
      <c r="H351" s="2" t="n"/>
      <c r="I351" s="3" t="n"/>
      <c r="J351" s="2" t="n"/>
      <c r="K351" s="2" t="n"/>
      <c r="L351" s="2" t="n"/>
      <c r="M351" s="2" t="n"/>
      <c r="N351" s="2" t="n"/>
      <c r="O351" s="2" t="n"/>
      <c r="P351" s="2" t="n"/>
      <c r="Q351" s="4">
        <f>IF(OR(A351="",E351=""),"",IF(MAXIFS($E$2:$E$1001,$A$2:$A$1001,A351,$E$2:$E$1001,"&lt;"&amp;E351)=0,"",SUMIFS($G$2:$G$1001,$A$2:$A$1001,A351,$E$2:$E$1001,MAXIFS($E$2:$E$1001,$A$2:$A$1001,A351,$E$2:$E$1001,"&lt;"&amp;E351))))</f>
        <v/>
      </c>
      <c r="R351" s="9">
        <f>IF(OR(Q351="",G351=""),"",G351-Q351)</f>
        <v/>
      </c>
      <c r="S351" s="9">
        <f>IF(R351="","",SUMIFS($R$2:$R$1001,$A$2:$A$1001,A351,$E$2:$E$1001,"&lt;="&amp;E351))</f>
        <v/>
      </c>
      <c r="T351" s="5">
        <f>IF(A351="","",IF(R351="","initial",IF(ABS(R351)&lt;=ShiftThresholdDays,"unchanged",IF(R351&gt;0,"delayed","accelerated"))))</f>
        <v/>
      </c>
    </row>
    <row r="352">
      <c r="A352" s="2" t="n"/>
      <c r="B352" s="2" t="n"/>
      <c r="C352" s="2" t="n"/>
      <c r="D352" s="2" t="n"/>
      <c r="E352" s="2" t="n"/>
      <c r="F352" s="2" t="n"/>
      <c r="G352" s="3" t="n"/>
      <c r="H352" s="2" t="n"/>
      <c r="I352" s="3" t="n"/>
      <c r="J352" s="2" t="n"/>
      <c r="K352" s="2" t="n"/>
      <c r="L352" s="2" t="n"/>
      <c r="M352" s="2" t="n"/>
      <c r="N352" s="2" t="n"/>
      <c r="O352" s="2" t="n"/>
      <c r="P352" s="2" t="n"/>
      <c r="Q352" s="4">
        <f>IF(OR(A352="",E352=""),"",IF(MAXIFS($E$2:$E$1001,$A$2:$A$1001,A352,$E$2:$E$1001,"&lt;"&amp;E352)=0,"",SUMIFS($G$2:$G$1001,$A$2:$A$1001,A352,$E$2:$E$1001,MAXIFS($E$2:$E$1001,$A$2:$A$1001,A352,$E$2:$E$1001,"&lt;"&amp;E352))))</f>
        <v/>
      </c>
      <c r="R352" s="9">
        <f>IF(OR(Q352="",G352=""),"",G352-Q352)</f>
        <v/>
      </c>
      <c r="S352" s="9">
        <f>IF(R352="","",SUMIFS($R$2:$R$1001,$A$2:$A$1001,A352,$E$2:$E$1001,"&lt;="&amp;E352))</f>
        <v/>
      </c>
      <c r="T352" s="5">
        <f>IF(A352="","",IF(R352="","initial",IF(ABS(R352)&lt;=ShiftThresholdDays,"unchanged",IF(R352&gt;0,"delayed","accelerated"))))</f>
        <v/>
      </c>
    </row>
    <row r="353">
      <c r="A353" s="2" t="n"/>
      <c r="B353" s="2" t="n"/>
      <c r="C353" s="2" t="n"/>
      <c r="D353" s="2" t="n"/>
      <c r="E353" s="2" t="n"/>
      <c r="F353" s="2" t="n"/>
      <c r="G353" s="3" t="n"/>
      <c r="H353" s="2" t="n"/>
      <c r="I353" s="3" t="n"/>
      <c r="J353" s="2" t="n"/>
      <c r="K353" s="2" t="n"/>
      <c r="L353" s="2" t="n"/>
      <c r="M353" s="2" t="n"/>
      <c r="N353" s="2" t="n"/>
      <c r="O353" s="2" t="n"/>
      <c r="P353" s="2" t="n"/>
      <c r="Q353" s="4">
        <f>IF(OR(A353="",E353=""),"",IF(MAXIFS($E$2:$E$1001,$A$2:$A$1001,A353,$E$2:$E$1001,"&lt;"&amp;E353)=0,"",SUMIFS($G$2:$G$1001,$A$2:$A$1001,A353,$E$2:$E$1001,MAXIFS($E$2:$E$1001,$A$2:$A$1001,A353,$E$2:$E$1001,"&lt;"&amp;E353))))</f>
        <v/>
      </c>
      <c r="R353" s="9">
        <f>IF(OR(Q353="",G353=""),"",G353-Q353)</f>
        <v/>
      </c>
      <c r="S353" s="9">
        <f>IF(R353="","",SUMIFS($R$2:$R$1001,$A$2:$A$1001,A353,$E$2:$E$1001,"&lt;="&amp;E353))</f>
        <v/>
      </c>
      <c r="T353" s="5">
        <f>IF(A353="","",IF(R353="","initial",IF(ABS(R353)&lt;=ShiftThresholdDays,"unchanged",IF(R353&gt;0,"delayed","accelerated"))))</f>
        <v/>
      </c>
    </row>
    <row r="354">
      <c r="A354" s="2" t="n"/>
      <c r="B354" s="2" t="n"/>
      <c r="C354" s="2" t="n"/>
      <c r="D354" s="2" t="n"/>
      <c r="E354" s="2" t="n"/>
      <c r="F354" s="2" t="n"/>
      <c r="G354" s="3" t="n"/>
      <c r="H354" s="2" t="n"/>
      <c r="I354" s="3" t="n"/>
      <c r="J354" s="2" t="n"/>
      <c r="K354" s="2" t="n"/>
      <c r="L354" s="2" t="n"/>
      <c r="M354" s="2" t="n"/>
      <c r="N354" s="2" t="n"/>
      <c r="O354" s="2" t="n"/>
      <c r="P354" s="2" t="n"/>
      <c r="Q354" s="4">
        <f>IF(OR(A354="",E354=""),"",IF(MAXIFS($E$2:$E$1001,$A$2:$A$1001,A354,$E$2:$E$1001,"&lt;"&amp;E354)=0,"",SUMIFS($G$2:$G$1001,$A$2:$A$1001,A354,$E$2:$E$1001,MAXIFS($E$2:$E$1001,$A$2:$A$1001,A354,$E$2:$E$1001,"&lt;"&amp;E354))))</f>
        <v/>
      </c>
      <c r="R354" s="9">
        <f>IF(OR(Q354="",G354=""),"",G354-Q354)</f>
        <v/>
      </c>
      <c r="S354" s="9">
        <f>IF(R354="","",SUMIFS($R$2:$R$1001,$A$2:$A$1001,A354,$E$2:$E$1001,"&lt;="&amp;E354))</f>
        <v/>
      </c>
      <c r="T354" s="5">
        <f>IF(A354="","",IF(R354="","initial",IF(ABS(R354)&lt;=ShiftThresholdDays,"unchanged",IF(R354&gt;0,"delayed","accelerated"))))</f>
        <v/>
      </c>
    </row>
    <row r="355">
      <c r="A355" s="2" t="n"/>
      <c r="B355" s="2" t="n"/>
      <c r="C355" s="2" t="n"/>
      <c r="D355" s="2" t="n"/>
      <c r="E355" s="2" t="n"/>
      <c r="F355" s="2" t="n"/>
      <c r="G355" s="3" t="n"/>
      <c r="H355" s="2" t="n"/>
      <c r="I355" s="3" t="n"/>
      <c r="J355" s="2" t="n"/>
      <c r="K355" s="2" t="n"/>
      <c r="L355" s="2" t="n"/>
      <c r="M355" s="2" t="n"/>
      <c r="N355" s="2" t="n"/>
      <c r="O355" s="2" t="n"/>
      <c r="P355" s="2" t="n"/>
      <c r="Q355" s="4">
        <f>IF(OR(A355="",E355=""),"",IF(MAXIFS($E$2:$E$1001,$A$2:$A$1001,A355,$E$2:$E$1001,"&lt;"&amp;E355)=0,"",SUMIFS($G$2:$G$1001,$A$2:$A$1001,A355,$E$2:$E$1001,MAXIFS($E$2:$E$1001,$A$2:$A$1001,A355,$E$2:$E$1001,"&lt;"&amp;E355))))</f>
        <v/>
      </c>
      <c r="R355" s="9">
        <f>IF(OR(Q355="",G355=""),"",G355-Q355)</f>
        <v/>
      </c>
      <c r="S355" s="9">
        <f>IF(R355="","",SUMIFS($R$2:$R$1001,$A$2:$A$1001,A355,$E$2:$E$1001,"&lt;="&amp;E355))</f>
        <v/>
      </c>
      <c r="T355" s="5">
        <f>IF(A355="","",IF(R355="","initial",IF(ABS(R355)&lt;=ShiftThresholdDays,"unchanged",IF(R355&gt;0,"delayed","accelerated"))))</f>
        <v/>
      </c>
    </row>
    <row r="356">
      <c r="A356" s="2" t="n"/>
      <c r="B356" s="2" t="n"/>
      <c r="C356" s="2" t="n"/>
      <c r="D356" s="2" t="n"/>
      <c r="E356" s="2" t="n"/>
      <c r="F356" s="2" t="n"/>
      <c r="G356" s="3" t="n"/>
      <c r="H356" s="2" t="n"/>
      <c r="I356" s="3" t="n"/>
      <c r="J356" s="2" t="n"/>
      <c r="K356" s="2" t="n"/>
      <c r="L356" s="2" t="n"/>
      <c r="M356" s="2" t="n"/>
      <c r="N356" s="2" t="n"/>
      <c r="O356" s="2" t="n"/>
      <c r="P356" s="2" t="n"/>
      <c r="Q356" s="4">
        <f>IF(OR(A356="",E356=""),"",IF(MAXIFS($E$2:$E$1001,$A$2:$A$1001,A356,$E$2:$E$1001,"&lt;"&amp;E356)=0,"",SUMIFS($G$2:$G$1001,$A$2:$A$1001,A356,$E$2:$E$1001,MAXIFS($E$2:$E$1001,$A$2:$A$1001,A356,$E$2:$E$1001,"&lt;"&amp;E356))))</f>
        <v/>
      </c>
      <c r="R356" s="9">
        <f>IF(OR(Q356="",G356=""),"",G356-Q356)</f>
        <v/>
      </c>
      <c r="S356" s="9">
        <f>IF(R356="","",SUMIFS($R$2:$R$1001,$A$2:$A$1001,A356,$E$2:$E$1001,"&lt;="&amp;E356))</f>
        <v/>
      </c>
      <c r="T356" s="5">
        <f>IF(A356="","",IF(R356="","initial",IF(ABS(R356)&lt;=ShiftThresholdDays,"unchanged",IF(R356&gt;0,"delayed","accelerated"))))</f>
        <v/>
      </c>
    </row>
    <row r="357">
      <c r="A357" s="2" t="n"/>
      <c r="B357" s="2" t="n"/>
      <c r="C357" s="2" t="n"/>
      <c r="D357" s="2" t="n"/>
      <c r="E357" s="2" t="n"/>
      <c r="F357" s="2" t="n"/>
      <c r="G357" s="3" t="n"/>
      <c r="H357" s="2" t="n"/>
      <c r="I357" s="3" t="n"/>
      <c r="J357" s="2" t="n"/>
      <c r="K357" s="2" t="n"/>
      <c r="L357" s="2" t="n"/>
      <c r="M357" s="2" t="n"/>
      <c r="N357" s="2" t="n"/>
      <c r="O357" s="2" t="n"/>
      <c r="P357" s="2" t="n"/>
      <c r="Q357" s="4">
        <f>IF(OR(A357="",E357=""),"",IF(MAXIFS($E$2:$E$1001,$A$2:$A$1001,A357,$E$2:$E$1001,"&lt;"&amp;E357)=0,"",SUMIFS($G$2:$G$1001,$A$2:$A$1001,A357,$E$2:$E$1001,MAXIFS($E$2:$E$1001,$A$2:$A$1001,A357,$E$2:$E$1001,"&lt;"&amp;E357))))</f>
        <v/>
      </c>
      <c r="R357" s="9">
        <f>IF(OR(Q357="",G357=""),"",G357-Q357)</f>
        <v/>
      </c>
      <c r="S357" s="9">
        <f>IF(R357="","",SUMIFS($R$2:$R$1001,$A$2:$A$1001,A357,$E$2:$E$1001,"&lt;="&amp;E357))</f>
        <v/>
      </c>
      <c r="T357" s="5">
        <f>IF(A357="","",IF(R357="","initial",IF(ABS(R357)&lt;=ShiftThresholdDays,"unchanged",IF(R357&gt;0,"delayed","accelerated"))))</f>
        <v/>
      </c>
    </row>
    <row r="358">
      <c r="A358" s="2" t="n"/>
      <c r="B358" s="2" t="n"/>
      <c r="C358" s="2" t="n"/>
      <c r="D358" s="2" t="n"/>
      <c r="E358" s="2" t="n"/>
      <c r="F358" s="2" t="n"/>
      <c r="G358" s="3" t="n"/>
      <c r="H358" s="2" t="n"/>
      <c r="I358" s="3" t="n"/>
      <c r="J358" s="2" t="n"/>
      <c r="K358" s="2" t="n"/>
      <c r="L358" s="2" t="n"/>
      <c r="M358" s="2" t="n"/>
      <c r="N358" s="2" t="n"/>
      <c r="O358" s="2" t="n"/>
      <c r="P358" s="2" t="n"/>
      <c r="Q358" s="4">
        <f>IF(OR(A358="",E358=""),"",IF(MAXIFS($E$2:$E$1001,$A$2:$A$1001,A358,$E$2:$E$1001,"&lt;"&amp;E358)=0,"",SUMIFS($G$2:$G$1001,$A$2:$A$1001,A358,$E$2:$E$1001,MAXIFS($E$2:$E$1001,$A$2:$A$1001,A358,$E$2:$E$1001,"&lt;"&amp;E358))))</f>
        <v/>
      </c>
      <c r="R358" s="9">
        <f>IF(OR(Q358="",G358=""),"",G358-Q358)</f>
        <v/>
      </c>
      <c r="S358" s="9">
        <f>IF(R358="","",SUMIFS($R$2:$R$1001,$A$2:$A$1001,A358,$E$2:$E$1001,"&lt;="&amp;E358))</f>
        <v/>
      </c>
      <c r="T358" s="5">
        <f>IF(A358="","",IF(R358="","initial",IF(ABS(R358)&lt;=ShiftThresholdDays,"unchanged",IF(R358&gt;0,"delayed","accelerated"))))</f>
        <v/>
      </c>
    </row>
    <row r="359">
      <c r="A359" s="2" t="n"/>
      <c r="B359" s="2" t="n"/>
      <c r="C359" s="2" t="n"/>
      <c r="D359" s="2" t="n"/>
      <c r="E359" s="2" t="n"/>
      <c r="F359" s="2" t="n"/>
      <c r="G359" s="3" t="n"/>
      <c r="H359" s="2" t="n"/>
      <c r="I359" s="3" t="n"/>
      <c r="J359" s="2" t="n"/>
      <c r="K359" s="2" t="n"/>
      <c r="L359" s="2" t="n"/>
      <c r="M359" s="2" t="n"/>
      <c r="N359" s="2" t="n"/>
      <c r="O359" s="2" t="n"/>
      <c r="P359" s="2" t="n"/>
      <c r="Q359" s="4">
        <f>IF(OR(A359="",E359=""),"",IF(MAXIFS($E$2:$E$1001,$A$2:$A$1001,A359,$E$2:$E$1001,"&lt;"&amp;E359)=0,"",SUMIFS($G$2:$G$1001,$A$2:$A$1001,A359,$E$2:$E$1001,MAXIFS($E$2:$E$1001,$A$2:$A$1001,A359,$E$2:$E$1001,"&lt;"&amp;E359))))</f>
        <v/>
      </c>
      <c r="R359" s="9">
        <f>IF(OR(Q359="",G359=""),"",G359-Q359)</f>
        <v/>
      </c>
      <c r="S359" s="9">
        <f>IF(R359="","",SUMIFS($R$2:$R$1001,$A$2:$A$1001,A359,$E$2:$E$1001,"&lt;="&amp;E359))</f>
        <v/>
      </c>
      <c r="T359" s="5">
        <f>IF(A359="","",IF(R359="","initial",IF(ABS(R359)&lt;=ShiftThresholdDays,"unchanged",IF(R359&gt;0,"delayed","accelerated"))))</f>
        <v/>
      </c>
    </row>
    <row r="360">
      <c r="A360" s="2" t="n"/>
      <c r="B360" s="2" t="n"/>
      <c r="C360" s="2" t="n"/>
      <c r="D360" s="2" t="n"/>
      <c r="E360" s="2" t="n"/>
      <c r="F360" s="2" t="n"/>
      <c r="G360" s="3" t="n"/>
      <c r="H360" s="2" t="n"/>
      <c r="I360" s="3" t="n"/>
      <c r="J360" s="2" t="n"/>
      <c r="K360" s="2" t="n"/>
      <c r="L360" s="2" t="n"/>
      <c r="M360" s="2" t="n"/>
      <c r="N360" s="2" t="n"/>
      <c r="O360" s="2" t="n"/>
      <c r="P360" s="2" t="n"/>
      <c r="Q360" s="4">
        <f>IF(OR(A360="",E360=""),"",IF(MAXIFS($E$2:$E$1001,$A$2:$A$1001,A360,$E$2:$E$1001,"&lt;"&amp;E360)=0,"",SUMIFS($G$2:$G$1001,$A$2:$A$1001,A360,$E$2:$E$1001,MAXIFS($E$2:$E$1001,$A$2:$A$1001,A360,$E$2:$E$1001,"&lt;"&amp;E360))))</f>
        <v/>
      </c>
      <c r="R360" s="9">
        <f>IF(OR(Q360="",G360=""),"",G360-Q360)</f>
        <v/>
      </c>
      <c r="S360" s="9">
        <f>IF(R360="","",SUMIFS($R$2:$R$1001,$A$2:$A$1001,A360,$E$2:$E$1001,"&lt;="&amp;E360))</f>
        <v/>
      </c>
      <c r="T360" s="5">
        <f>IF(A360="","",IF(R360="","initial",IF(ABS(R360)&lt;=ShiftThresholdDays,"unchanged",IF(R360&gt;0,"delayed","accelerated"))))</f>
        <v/>
      </c>
    </row>
    <row r="361">
      <c r="A361" s="2" t="n"/>
      <c r="B361" s="2" t="n"/>
      <c r="C361" s="2" t="n"/>
      <c r="D361" s="2" t="n"/>
      <c r="E361" s="2" t="n"/>
      <c r="F361" s="2" t="n"/>
      <c r="G361" s="3" t="n"/>
      <c r="H361" s="2" t="n"/>
      <c r="I361" s="3" t="n"/>
      <c r="J361" s="2" t="n"/>
      <c r="K361" s="2" t="n"/>
      <c r="L361" s="2" t="n"/>
      <c r="M361" s="2" t="n"/>
      <c r="N361" s="2" t="n"/>
      <c r="O361" s="2" t="n"/>
      <c r="P361" s="2" t="n"/>
      <c r="Q361" s="4">
        <f>IF(OR(A361="",E361=""),"",IF(MAXIFS($E$2:$E$1001,$A$2:$A$1001,A361,$E$2:$E$1001,"&lt;"&amp;E361)=0,"",SUMIFS($G$2:$G$1001,$A$2:$A$1001,A361,$E$2:$E$1001,MAXIFS($E$2:$E$1001,$A$2:$A$1001,A361,$E$2:$E$1001,"&lt;"&amp;E361))))</f>
        <v/>
      </c>
      <c r="R361" s="9">
        <f>IF(OR(Q361="",G361=""),"",G361-Q361)</f>
        <v/>
      </c>
      <c r="S361" s="9">
        <f>IF(R361="","",SUMIFS($R$2:$R$1001,$A$2:$A$1001,A361,$E$2:$E$1001,"&lt;="&amp;E361))</f>
        <v/>
      </c>
      <c r="T361" s="5">
        <f>IF(A361="","",IF(R361="","initial",IF(ABS(R361)&lt;=ShiftThresholdDays,"unchanged",IF(R361&gt;0,"delayed","accelerated"))))</f>
        <v/>
      </c>
    </row>
    <row r="362">
      <c r="A362" s="2" t="n"/>
      <c r="B362" s="2" t="n"/>
      <c r="C362" s="2" t="n"/>
      <c r="D362" s="2" t="n"/>
      <c r="E362" s="2" t="n"/>
      <c r="F362" s="2" t="n"/>
      <c r="G362" s="3" t="n"/>
      <c r="H362" s="2" t="n"/>
      <c r="I362" s="3" t="n"/>
      <c r="J362" s="2" t="n"/>
      <c r="K362" s="2" t="n"/>
      <c r="L362" s="2" t="n"/>
      <c r="M362" s="2" t="n"/>
      <c r="N362" s="2" t="n"/>
      <c r="O362" s="2" t="n"/>
      <c r="P362" s="2" t="n"/>
      <c r="Q362" s="4">
        <f>IF(OR(A362="",E362=""),"",IF(MAXIFS($E$2:$E$1001,$A$2:$A$1001,A362,$E$2:$E$1001,"&lt;"&amp;E362)=0,"",SUMIFS($G$2:$G$1001,$A$2:$A$1001,A362,$E$2:$E$1001,MAXIFS($E$2:$E$1001,$A$2:$A$1001,A362,$E$2:$E$1001,"&lt;"&amp;E362))))</f>
        <v/>
      </c>
      <c r="R362" s="9">
        <f>IF(OR(Q362="",G362=""),"",G362-Q362)</f>
        <v/>
      </c>
      <c r="S362" s="9">
        <f>IF(R362="","",SUMIFS($R$2:$R$1001,$A$2:$A$1001,A362,$E$2:$E$1001,"&lt;="&amp;E362))</f>
        <v/>
      </c>
      <c r="T362" s="5">
        <f>IF(A362="","",IF(R362="","initial",IF(ABS(R362)&lt;=ShiftThresholdDays,"unchanged",IF(R362&gt;0,"delayed","accelerated"))))</f>
        <v/>
      </c>
    </row>
    <row r="363">
      <c r="A363" s="2" t="n"/>
      <c r="B363" s="2" t="n"/>
      <c r="C363" s="2" t="n"/>
      <c r="D363" s="2" t="n"/>
      <c r="E363" s="2" t="n"/>
      <c r="F363" s="2" t="n"/>
      <c r="G363" s="3" t="n"/>
      <c r="H363" s="2" t="n"/>
      <c r="I363" s="3" t="n"/>
      <c r="J363" s="2" t="n"/>
      <c r="K363" s="2" t="n"/>
      <c r="L363" s="2" t="n"/>
      <c r="M363" s="2" t="n"/>
      <c r="N363" s="2" t="n"/>
      <c r="O363" s="2" t="n"/>
      <c r="P363" s="2" t="n"/>
      <c r="Q363" s="4">
        <f>IF(OR(A363="",E363=""),"",IF(MAXIFS($E$2:$E$1001,$A$2:$A$1001,A363,$E$2:$E$1001,"&lt;"&amp;E363)=0,"",SUMIFS($G$2:$G$1001,$A$2:$A$1001,A363,$E$2:$E$1001,MAXIFS($E$2:$E$1001,$A$2:$A$1001,A363,$E$2:$E$1001,"&lt;"&amp;E363))))</f>
        <v/>
      </c>
      <c r="R363" s="9">
        <f>IF(OR(Q363="",G363=""),"",G363-Q363)</f>
        <v/>
      </c>
      <c r="S363" s="9">
        <f>IF(R363="","",SUMIFS($R$2:$R$1001,$A$2:$A$1001,A363,$E$2:$E$1001,"&lt;="&amp;E363))</f>
        <v/>
      </c>
      <c r="T363" s="5">
        <f>IF(A363="","",IF(R363="","initial",IF(ABS(R363)&lt;=ShiftThresholdDays,"unchanged",IF(R363&gt;0,"delayed","accelerated"))))</f>
        <v/>
      </c>
    </row>
    <row r="364">
      <c r="A364" s="2" t="n"/>
      <c r="B364" s="2" t="n"/>
      <c r="C364" s="2" t="n"/>
      <c r="D364" s="2" t="n"/>
      <c r="E364" s="2" t="n"/>
      <c r="F364" s="2" t="n"/>
      <c r="G364" s="3" t="n"/>
      <c r="H364" s="2" t="n"/>
      <c r="I364" s="3" t="n"/>
      <c r="J364" s="2" t="n"/>
      <c r="K364" s="2" t="n"/>
      <c r="L364" s="2" t="n"/>
      <c r="M364" s="2" t="n"/>
      <c r="N364" s="2" t="n"/>
      <c r="O364" s="2" t="n"/>
      <c r="P364" s="2" t="n"/>
      <c r="Q364" s="4">
        <f>IF(OR(A364="",E364=""),"",IF(MAXIFS($E$2:$E$1001,$A$2:$A$1001,A364,$E$2:$E$1001,"&lt;"&amp;E364)=0,"",SUMIFS($G$2:$G$1001,$A$2:$A$1001,A364,$E$2:$E$1001,MAXIFS($E$2:$E$1001,$A$2:$A$1001,A364,$E$2:$E$1001,"&lt;"&amp;E364))))</f>
        <v/>
      </c>
      <c r="R364" s="9">
        <f>IF(OR(Q364="",G364=""),"",G364-Q364)</f>
        <v/>
      </c>
      <c r="S364" s="9">
        <f>IF(R364="","",SUMIFS($R$2:$R$1001,$A$2:$A$1001,A364,$E$2:$E$1001,"&lt;="&amp;E364))</f>
        <v/>
      </c>
      <c r="T364" s="5">
        <f>IF(A364="","",IF(R364="","initial",IF(ABS(R364)&lt;=ShiftThresholdDays,"unchanged",IF(R364&gt;0,"delayed","accelerated"))))</f>
        <v/>
      </c>
    </row>
    <row r="365">
      <c r="A365" s="2" t="n"/>
      <c r="B365" s="2" t="n"/>
      <c r="C365" s="2" t="n"/>
      <c r="D365" s="2" t="n"/>
      <c r="E365" s="2" t="n"/>
      <c r="F365" s="2" t="n"/>
      <c r="G365" s="3" t="n"/>
      <c r="H365" s="2" t="n"/>
      <c r="I365" s="3" t="n"/>
      <c r="J365" s="2" t="n"/>
      <c r="K365" s="2" t="n"/>
      <c r="L365" s="2" t="n"/>
      <c r="M365" s="2" t="n"/>
      <c r="N365" s="2" t="n"/>
      <c r="O365" s="2" t="n"/>
      <c r="P365" s="2" t="n"/>
      <c r="Q365" s="4">
        <f>IF(OR(A365="",E365=""),"",IF(MAXIFS($E$2:$E$1001,$A$2:$A$1001,A365,$E$2:$E$1001,"&lt;"&amp;E365)=0,"",SUMIFS($G$2:$G$1001,$A$2:$A$1001,A365,$E$2:$E$1001,MAXIFS($E$2:$E$1001,$A$2:$A$1001,A365,$E$2:$E$1001,"&lt;"&amp;E365))))</f>
        <v/>
      </c>
      <c r="R365" s="9">
        <f>IF(OR(Q365="",G365=""),"",G365-Q365)</f>
        <v/>
      </c>
      <c r="S365" s="9">
        <f>IF(R365="","",SUMIFS($R$2:$R$1001,$A$2:$A$1001,A365,$E$2:$E$1001,"&lt;="&amp;E365))</f>
        <v/>
      </c>
      <c r="T365" s="5">
        <f>IF(A365="","",IF(R365="","initial",IF(ABS(R365)&lt;=ShiftThresholdDays,"unchanged",IF(R365&gt;0,"delayed","accelerated"))))</f>
        <v/>
      </c>
    </row>
    <row r="366">
      <c r="A366" s="2" t="n"/>
      <c r="B366" s="2" t="n"/>
      <c r="C366" s="2" t="n"/>
      <c r="D366" s="2" t="n"/>
      <c r="E366" s="2" t="n"/>
      <c r="F366" s="2" t="n"/>
      <c r="G366" s="3" t="n"/>
      <c r="H366" s="2" t="n"/>
      <c r="I366" s="3" t="n"/>
      <c r="J366" s="2" t="n"/>
      <c r="K366" s="2" t="n"/>
      <c r="L366" s="2" t="n"/>
      <c r="M366" s="2" t="n"/>
      <c r="N366" s="2" t="n"/>
      <c r="O366" s="2" t="n"/>
      <c r="P366" s="2" t="n"/>
      <c r="Q366" s="4">
        <f>IF(OR(A366="",E366=""),"",IF(MAXIFS($E$2:$E$1001,$A$2:$A$1001,A366,$E$2:$E$1001,"&lt;"&amp;E366)=0,"",SUMIFS($G$2:$G$1001,$A$2:$A$1001,A366,$E$2:$E$1001,MAXIFS($E$2:$E$1001,$A$2:$A$1001,A366,$E$2:$E$1001,"&lt;"&amp;E366))))</f>
        <v/>
      </c>
      <c r="R366" s="9">
        <f>IF(OR(Q366="",G366=""),"",G366-Q366)</f>
        <v/>
      </c>
      <c r="S366" s="9">
        <f>IF(R366="","",SUMIFS($R$2:$R$1001,$A$2:$A$1001,A366,$E$2:$E$1001,"&lt;="&amp;E366))</f>
        <v/>
      </c>
      <c r="T366" s="5">
        <f>IF(A366="","",IF(R366="","initial",IF(ABS(R366)&lt;=ShiftThresholdDays,"unchanged",IF(R366&gt;0,"delayed","accelerated"))))</f>
        <v/>
      </c>
    </row>
    <row r="367">
      <c r="A367" s="2" t="n"/>
      <c r="B367" s="2" t="n"/>
      <c r="C367" s="2" t="n"/>
      <c r="D367" s="2" t="n"/>
      <c r="E367" s="2" t="n"/>
      <c r="F367" s="2" t="n"/>
      <c r="G367" s="3" t="n"/>
      <c r="H367" s="2" t="n"/>
      <c r="I367" s="3" t="n"/>
      <c r="J367" s="2" t="n"/>
      <c r="K367" s="2" t="n"/>
      <c r="L367" s="2" t="n"/>
      <c r="M367" s="2" t="n"/>
      <c r="N367" s="2" t="n"/>
      <c r="O367" s="2" t="n"/>
      <c r="P367" s="2" t="n"/>
      <c r="Q367" s="4">
        <f>IF(OR(A367="",E367=""),"",IF(MAXIFS($E$2:$E$1001,$A$2:$A$1001,A367,$E$2:$E$1001,"&lt;"&amp;E367)=0,"",SUMIFS($G$2:$G$1001,$A$2:$A$1001,A367,$E$2:$E$1001,MAXIFS($E$2:$E$1001,$A$2:$A$1001,A367,$E$2:$E$1001,"&lt;"&amp;E367))))</f>
        <v/>
      </c>
      <c r="R367" s="9">
        <f>IF(OR(Q367="",G367=""),"",G367-Q367)</f>
        <v/>
      </c>
      <c r="S367" s="9">
        <f>IF(R367="","",SUMIFS($R$2:$R$1001,$A$2:$A$1001,A367,$E$2:$E$1001,"&lt;="&amp;E367))</f>
        <v/>
      </c>
      <c r="T367" s="5">
        <f>IF(A367="","",IF(R367="","initial",IF(ABS(R367)&lt;=ShiftThresholdDays,"unchanged",IF(R367&gt;0,"delayed","accelerated"))))</f>
        <v/>
      </c>
    </row>
    <row r="368">
      <c r="A368" s="2" t="n"/>
      <c r="B368" s="2" t="n"/>
      <c r="C368" s="2" t="n"/>
      <c r="D368" s="2" t="n"/>
      <c r="E368" s="2" t="n"/>
      <c r="F368" s="2" t="n"/>
      <c r="G368" s="3" t="n"/>
      <c r="H368" s="2" t="n"/>
      <c r="I368" s="3" t="n"/>
      <c r="J368" s="2" t="n"/>
      <c r="K368" s="2" t="n"/>
      <c r="L368" s="2" t="n"/>
      <c r="M368" s="2" t="n"/>
      <c r="N368" s="2" t="n"/>
      <c r="O368" s="2" t="n"/>
      <c r="P368" s="2" t="n"/>
      <c r="Q368" s="4">
        <f>IF(OR(A368="",E368=""),"",IF(MAXIFS($E$2:$E$1001,$A$2:$A$1001,A368,$E$2:$E$1001,"&lt;"&amp;E368)=0,"",SUMIFS($G$2:$G$1001,$A$2:$A$1001,A368,$E$2:$E$1001,MAXIFS($E$2:$E$1001,$A$2:$A$1001,A368,$E$2:$E$1001,"&lt;"&amp;E368))))</f>
        <v/>
      </c>
      <c r="R368" s="9">
        <f>IF(OR(Q368="",G368=""),"",G368-Q368)</f>
        <v/>
      </c>
      <c r="S368" s="9">
        <f>IF(R368="","",SUMIFS($R$2:$R$1001,$A$2:$A$1001,A368,$E$2:$E$1001,"&lt;="&amp;E368))</f>
        <v/>
      </c>
      <c r="T368" s="5">
        <f>IF(A368="","",IF(R368="","initial",IF(ABS(R368)&lt;=ShiftThresholdDays,"unchanged",IF(R368&gt;0,"delayed","accelerated"))))</f>
        <v/>
      </c>
    </row>
    <row r="369">
      <c r="A369" s="2" t="n"/>
      <c r="B369" s="2" t="n"/>
      <c r="C369" s="2" t="n"/>
      <c r="D369" s="2" t="n"/>
      <c r="E369" s="2" t="n"/>
      <c r="F369" s="2" t="n"/>
      <c r="G369" s="3" t="n"/>
      <c r="H369" s="2" t="n"/>
      <c r="I369" s="3" t="n"/>
      <c r="J369" s="2" t="n"/>
      <c r="K369" s="2" t="n"/>
      <c r="L369" s="2" t="n"/>
      <c r="M369" s="2" t="n"/>
      <c r="N369" s="2" t="n"/>
      <c r="O369" s="2" t="n"/>
      <c r="P369" s="2" t="n"/>
      <c r="Q369" s="4">
        <f>IF(OR(A369="",E369=""),"",IF(MAXIFS($E$2:$E$1001,$A$2:$A$1001,A369,$E$2:$E$1001,"&lt;"&amp;E369)=0,"",SUMIFS($G$2:$G$1001,$A$2:$A$1001,A369,$E$2:$E$1001,MAXIFS($E$2:$E$1001,$A$2:$A$1001,A369,$E$2:$E$1001,"&lt;"&amp;E369))))</f>
        <v/>
      </c>
      <c r="R369" s="9">
        <f>IF(OR(Q369="",G369=""),"",G369-Q369)</f>
        <v/>
      </c>
      <c r="S369" s="9">
        <f>IF(R369="","",SUMIFS($R$2:$R$1001,$A$2:$A$1001,A369,$E$2:$E$1001,"&lt;="&amp;E369))</f>
        <v/>
      </c>
      <c r="T369" s="5">
        <f>IF(A369="","",IF(R369="","initial",IF(ABS(R369)&lt;=ShiftThresholdDays,"unchanged",IF(R369&gt;0,"delayed","accelerated"))))</f>
        <v/>
      </c>
    </row>
    <row r="370">
      <c r="A370" s="2" t="n"/>
      <c r="B370" s="2" t="n"/>
      <c r="C370" s="2" t="n"/>
      <c r="D370" s="2" t="n"/>
      <c r="E370" s="2" t="n"/>
      <c r="F370" s="2" t="n"/>
      <c r="G370" s="3" t="n"/>
      <c r="H370" s="2" t="n"/>
      <c r="I370" s="3" t="n"/>
      <c r="J370" s="2" t="n"/>
      <c r="K370" s="2" t="n"/>
      <c r="L370" s="2" t="n"/>
      <c r="M370" s="2" t="n"/>
      <c r="N370" s="2" t="n"/>
      <c r="O370" s="2" t="n"/>
      <c r="P370" s="2" t="n"/>
      <c r="Q370" s="4">
        <f>IF(OR(A370="",E370=""),"",IF(MAXIFS($E$2:$E$1001,$A$2:$A$1001,A370,$E$2:$E$1001,"&lt;"&amp;E370)=0,"",SUMIFS($G$2:$G$1001,$A$2:$A$1001,A370,$E$2:$E$1001,MAXIFS($E$2:$E$1001,$A$2:$A$1001,A370,$E$2:$E$1001,"&lt;"&amp;E370))))</f>
        <v/>
      </c>
      <c r="R370" s="9">
        <f>IF(OR(Q370="",G370=""),"",G370-Q370)</f>
        <v/>
      </c>
      <c r="S370" s="9">
        <f>IF(R370="","",SUMIFS($R$2:$R$1001,$A$2:$A$1001,A370,$E$2:$E$1001,"&lt;="&amp;E370))</f>
        <v/>
      </c>
      <c r="T370" s="5">
        <f>IF(A370="","",IF(R370="","initial",IF(ABS(R370)&lt;=ShiftThresholdDays,"unchanged",IF(R370&gt;0,"delayed","accelerated"))))</f>
        <v/>
      </c>
    </row>
    <row r="371">
      <c r="A371" s="2" t="n"/>
      <c r="B371" s="2" t="n"/>
      <c r="C371" s="2" t="n"/>
      <c r="D371" s="2" t="n"/>
      <c r="E371" s="2" t="n"/>
      <c r="F371" s="2" t="n"/>
      <c r="G371" s="3" t="n"/>
      <c r="H371" s="2" t="n"/>
      <c r="I371" s="3" t="n"/>
      <c r="J371" s="2" t="n"/>
      <c r="K371" s="2" t="n"/>
      <c r="L371" s="2" t="n"/>
      <c r="M371" s="2" t="n"/>
      <c r="N371" s="2" t="n"/>
      <c r="O371" s="2" t="n"/>
      <c r="P371" s="2" t="n"/>
      <c r="Q371" s="4">
        <f>IF(OR(A371="",E371=""),"",IF(MAXIFS($E$2:$E$1001,$A$2:$A$1001,A371,$E$2:$E$1001,"&lt;"&amp;E371)=0,"",SUMIFS($G$2:$G$1001,$A$2:$A$1001,A371,$E$2:$E$1001,MAXIFS($E$2:$E$1001,$A$2:$A$1001,A371,$E$2:$E$1001,"&lt;"&amp;E371))))</f>
        <v/>
      </c>
      <c r="R371" s="9">
        <f>IF(OR(Q371="",G371=""),"",G371-Q371)</f>
        <v/>
      </c>
      <c r="S371" s="9">
        <f>IF(R371="","",SUMIFS($R$2:$R$1001,$A$2:$A$1001,A371,$E$2:$E$1001,"&lt;="&amp;E371))</f>
        <v/>
      </c>
      <c r="T371" s="5">
        <f>IF(A371="","",IF(R371="","initial",IF(ABS(R371)&lt;=ShiftThresholdDays,"unchanged",IF(R371&gt;0,"delayed","accelerated"))))</f>
        <v/>
      </c>
    </row>
    <row r="372">
      <c r="A372" s="2" t="n"/>
      <c r="B372" s="2" t="n"/>
      <c r="C372" s="2" t="n"/>
      <c r="D372" s="2" t="n"/>
      <c r="E372" s="2" t="n"/>
      <c r="F372" s="2" t="n"/>
      <c r="G372" s="3" t="n"/>
      <c r="H372" s="2" t="n"/>
      <c r="I372" s="3" t="n"/>
      <c r="J372" s="2" t="n"/>
      <c r="K372" s="2" t="n"/>
      <c r="L372" s="2" t="n"/>
      <c r="M372" s="2" t="n"/>
      <c r="N372" s="2" t="n"/>
      <c r="O372" s="2" t="n"/>
      <c r="P372" s="2" t="n"/>
      <c r="Q372" s="4">
        <f>IF(OR(A372="",E372=""),"",IF(MAXIFS($E$2:$E$1001,$A$2:$A$1001,A372,$E$2:$E$1001,"&lt;"&amp;E372)=0,"",SUMIFS($G$2:$G$1001,$A$2:$A$1001,A372,$E$2:$E$1001,MAXIFS($E$2:$E$1001,$A$2:$A$1001,A372,$E$2:$E$1001,"&lt;"&amp;E372))))</f>
        <v/>
      </c>
      <c r="R372" s="9">
        <f>IF(OR(Q372="",G372=""),"",G372-Q372)</f>
        <v/>
      </c>
      <c r="S372" s="9">
        <f>IF(R372="","",SUMIFS($R$2:$R$1001,$A$2:$A$1001,A372,$E$2:$E$1001,"&lt;="&amp;E372))</f>
        <v/>
      </c>
      <c r="T372" s="5">
        <f>IF(A372="","",IF(R372="","initial",IF(ABS(R372)&lt;=ShiftThresholdDays,"unchanged",IF(R372&gt;0,"delayed","accelerated"))))</f>
        <v/>
      </c>
    </row>
    <row r="373">
      <c r="A373" s="2" t="n"/>
      <c r="B373" s="2" t="n"/>
      <c r="C373" s="2" t="n"/>
      <c r="D373" s="2" t="n"/>
      <c r="E373" s="2" t="n"/>
      <c r="F373" s="2" t="n"/>
      <c r="G373" s="3" t="n"/>
      <c r="H373" s="2" t="n"/>
      <c r="I373" s="3" t="n"/>
      <c r="J373" s="2" t="n"/>
      <c r="K373" s="2" t="n"/>
      <c r="L373" s="2" t="n"/>
      <c r="M373" s="2" t="n"/>
      <c r="N373" s="2" t="n"/>
      <c r="O373" s="2" t="n"/>
      <c r="P373" s="2" t="n"/>
      <c r="Q373" s="4">
        <f>IF(OR(A373="",E373=""),"",IF(MAXIFS($E$2:$E$1001,$A$2:$A$1001,A373,$E$2:$E$1001,"&lt;"&amp;E373)=0,"",SUMIFS($G$2:$G$1001,$A$2:$A$1001,A373,$E$2:$E$1001,MAXIFS($E$2:$E$1001,$A$2:$A$1001,A373,$E$2:$E$1001,"&lt;"&amp;E373))))</f>
        <v/>
      </c>
      <c r="R373" s="9">
        <f>IF(OR(Q373="",G373=""),"",G373-Q373)</f>
        <v/>
      </c>
      <c r="S373" s="9">
        <f>IF(R373="","",SUMIFS($R$2:$R$1001,$A$2:$A$1001,A373,$E$2:$E$1001,"&lt;="&amp;E373))</f>
        <v/>
      </c>
      <c r="T373" s="5">
        <f>IF(A373="","",IF(R373="","initial",IF(ABS(R373)&lt;=ShiftThresholdDays,"unchanged",IF(R373&gt;0,"delayed","accelerated"))))</f>
        <v/>
      </c>
    </row>
    <row r="374">
      <c r="A374" s="2" t="n"/>
      <c r="B374" s="2" t="n"/>
      <c r="C374" s="2" t="n"/>
      <c r="D374" s="2" t="n"/>
      <c r="E374" s="2" t="n"/>
      <c r="F374" s="2" t="n"/>
      <c r="G374" s="3" t="n"/>
      <c r="H374" s="2" t="n"/>
      <c r="I374" s="3" t="n"/>
      <c r="J374" s="2" t="n"/>
      <c r="K374" s="2" t="n"/>
      <c r="L374" s="2" t="n"/>
      <c r="M374" s="2" t="n"/>
      <c r="N374" s="2" t="n"/>
      <c r="O374" s="2" t="n"/>
      <c r="P374" s="2" t="n"/>
      <c r="Q374" s="4">
        <f>IF(OR(A374="",E374=""),"",IF(MAXIFS($E$2:$E$1001,$A$2:$A$1001,A374,$E$2:$E$1001,"&lt;"&amp;E374)=0,"",SUMIFS($G$2:$G$1001,$A$2:$A$1001,A374,$E$2:$E$1001,MAXIFS($E$2:$E$1001,$A$2:$A$1001,A374,$E$2:$E$1001,"&lt;"&amp;E374))))</f>
        <v/>
      </c>
      <c r="R374" s="9">
        <f>IF(OR(Q374="",G374=""),"",G374-Q374)</f>
        <v/>
      </c>
      <c r="S374" s="9">
        <f>IF(R374="","",SUMIFS($R$2:$R$1001,$A$2:$A$1001,A374,$E$2:$E$1001,"&lt;="&amp;E374))</f>
        <v/>
      </c>
      <c r="T374" s="5">
        <f>IF(A374="","",IF(R374="","initial",IF(ABS(R374)&lt;=ShiftThresholdDays,"unchanged",IF(R374&gt;0,"delayed","accelerated"))))</f>
        <v/>
      </c>
    </row>
    <row r="375">
      <c r="A375" s="2" t="n"/>
      <c r="B375" s="2" t="n"/>
      <c r="C375" s="2" t="n"/>
      <c r="D375" s="2" t="n"/>
      <c r="E375" s="2" t="n"/>
      <c r="F375" s="2" t="n"/>
      <c r="G375" s="3" t="n"/>
      <c r="H375" s="2" t="n"/>
      <c r="I375" s="3" t="n"/>
      <c r="J375" s="2" t="n"/>
      <c r="K375" s="2" t="n"/>
      <c r="L375" s="2" t="n"/>
      <c r="M375" s="2" t="n"/>
      <c r="N375" s="2" t="n"/>
      <c r="O375" s="2" t="n"/>
      <c r="P375" s="2" t="n"/>
      <c r="Q375" s="4">
        <f>IF(OR(A375="",E375=""),"",IF(MAXIFS($E$2:$E$1001,$A$2:$A$1001,A375,$E$2:$E$1001,"&lt;"&amp;E375)=0,"",SUMIFS($G$2:$G$1001,$A$2:$A$1001,A375,$E$2:$E$1001,MAXIFS($E$2:$E$1001,$A$2:$A$1001,A375,$E$2:$E$1001,"&lt;"&amp;E375))))</f>
        <v/>
      </c>
      <c r="R375" s="9">
        <f>IF(OR(Q375="",G375=""),"",G375-Q375)</f>
        <v/>
      </c>
      <c r="S375" s="9">
        <f>IF(R375="","",SUMIFS($R$2:$R$1001,$A$2:$A$1001,A375,$E$2:$E$1001,"&lt;="&amp;E375))</f>
        <v/>
      </c>
      <c r="T375" s="5">
        <f>IF(A375="","",IF(R375="","initial",IF(ABS(R375)&lt;=ShiftThresholdDays,"unchanged",IF(R375&gt;0,"delayed","accelerated"))))</f>
        <v/>
      </c>
    </row>
    <row r="376">
      <c r="A376" s="2" t="n"/>
      <c r="B376" s="2" t="n"/>
      <c r="C376" s="2" t="n"/>
      <c r="D376" s="2" t="n"/>
      <c r="E376" s="2" t="n"/>
      <c r="F376" s="2" t="n"/>
      <c r="G376" s="3" t="n"/>
      <c r="H376" s="2" t="n"/>
      <c r="I376" s="3" t="n"/>
      <c r="J376" s="2" t="n"/>
      <c r="K376" s="2" t="n"/>
      <c r="L376" s="2" t="n"/>
      <c r="M376" s="2" t="n"/>
      <c r="N376" s="2" t="n"/>
      <c r="O376" s="2" t="n"/>
      <c r="P376" s="2" t="n"/>
      <c r="Q376" s="4">
        <f>IF(OR(A376="",E376=""),"",IF(MAXIFS($E$2:$E$1001,$A$2:$A$1001,A376,$E$2:$E$1001,"&lt;"&amp;E376)=0,"",SUMIFS($G$2:$G$1001,$A$2:$A$1001,A376,$E$2:$E$1001,MAXIFS($E$2:$E$1001,$A$2:$A$1001,A376,$E$2:$E$1001,"&lt;"&amp;E376))))</f>
        <v/>
      </c>
      <c r="R376" s="9">
        <f>IF(OR(Q376="",G376=""),"",G376-Q376)</f>
        <v/>
      </c>
      <c r="S376" s="9">
        <f>IF(R376="","",SUMIFS($R$2:$R$1001,$A$2:$A$1001,A376,$E$2:$E$1001,"&lt;="&amp;E376))</f>
        <v/>
      </c>
      <c r="T376" s="5">
        <f>IF(A376="","",IF(R376="","initial",IF(ABS(R376)&lt;=ShiftThresholdDays,"unchanged",IF(R376&gt;0,"delayed","accelerated"))))</f>
        <v/>
      </c>
    </row>
    <row r="377">
      <c r="A377" s="2" t="n"/>
      <c r="B377" s="2" t="n"/>
      <c r="C377" s="2" t="n"/>
      <c r="D377" s="2" t="n"/>
      <c r="E377" s="2" t="n"/>
      <c r="F377" s="2" t="n"/>
      <c r="G377" s="3" t="n"/>
      <c r="H377" s="2" t="n"/>
      <c r="I377" s="3" t="n"/>
      <c r="J377" s="2" t="n"/>
      <c r="K377" s="2" t="n"/>
      <c r="L377" s="2" t="n"/>
      <c r="M377" s="2" t="n"/>
      <c r="N377" s="2" t="n"/>
      <c r="O377" s="2" t="n"/>
      <c r="P377" s="2" t="n"/>
      <c r="Q377" s="4">
        <f>IF(OR(A377="",E377=""),"",IF(MAXIFS($E$2:$E$1001,$A$2:$A$1001,A377,$E$2:$E$1001,"&lt;"&amp;E377)=0,"",SUMIFS($G$2:$G$1001,$A$2:$A$1001,A377,$E$2:$E$1001,MAXIFS($E$2:$E$1001,$A$2:$A$1001,A377,$E$2:$E$1001,"&lt;"&amp;E377))))</f>
        <v/>
      </c>
      <c r="R377" s="9">
        <f>IF(OR(Q377="",G377=""),"",G377-Q377)</f>
        <v/>
      </c>
      <c r="S377" s="9">
        <f>IF(R377="","",SUMIFS($R$2:$R$1001,$A$2:$A$1001,A377,$E$2:$E$1001,"&lt;="&amp;E377))</f>
        <v/>
      </c>
      <c r="T377" s="5">
        <f>IF(A377="","",IF(R377="","initial",IF(ABS(R377)&lt;=ShiftThresholdDays,"unchanged",IF(R377&gt;0,"delayed","accelerated"))))</f>
        <v/>
      </c>
    </row>
    <row r="378">
      <c r="A378" s="2" t="n"/>
      <c r="B378" s="2" t="n"/>
      <c r="C378" s="2" t="n"/>
      <c r="D378" s="2" t="n"/>
      <c r="E378" s="2" t="n"/>
      <c r="F378" s="2" t="n"/>
      <c r="G378" s="3" t="n"/>
      <c r="H378" s="2" t="n"/>
      <c r="I378" s="3" t="n"/>
      <c r="J378" s="2" t="n"/>
      <c r="K378" s="2" t="n"/>
      <c r="L378" s="2" t="n"/>
      <c r="M378" s="2" t="n"/>
      <c r="N378" s="2" t="n"/>
      <c r="O378" s="2" t="n"/>
      <c r="P378" s="2" t="n"/>
      <c r="Q378" s="4">
        <f>IF(OR(A378="",E378=""),"",IF(MAXIFS($E$2:$E$1001,$A$2:$A$1001,A378,$E$2:$E$1001,"&lt;"&amp;E378)=0,"",SUMIFS($G$2:$G$1001,$A$2:$A$1001,A378,$E$2:$E$1001,MAXIFS($E$2:$E$1001,$A$2:$A$1001,A378,$E$2:$E$1001,"&lt;"&amp;E378))))</f>
        <v/>
      </c>
      <c r="R378" s="9">
        <f>IF(OR(Q378="",G378=""),"",G378-Q378)</f>
        <v/>
      </c>
      <c r="S378" s="9">
        <f>IF(R378="","",SUMIFS($R$2:$R$1001,$A$2:$A$1001,A378,$E$2:$E$1001,"&lt;="&amp;E378))</f>
        <v/>
      </c>
      <c r="T378" s="5">
        <f>IF(A378="","",IF(R378="","initial",IF(ABS(R378)&lt;=ShiftThresholdDays,"unchanged",IF(R378&gt;0,"delayed","accelerated"))))</f>
        <v/>
      </c>
    </row>
    <row r="379">
      <c r="A379" s="2" t="n"/>
      <c r="B379" s="2" t="n"/>
      <c r="C379" s="2" t="n"/>
      <c r="D379" s="2" t="n"/>
      <c r="E379" s="2" t="n"/>
      <c r="F379" s="2" t="n"/>
      <c r="G379" s="3" t="n"/>
      <c r="H379" s="2" t="n"/>
      <c r="I379" s="3" t="n"/>
      <c r="J379" s="2" t="n"/>
      <c r="K379" s="2" t="n"/>
      <c r="L379" s="2" t="n"/>
      <c r="M379" s="2" t="n"/>
      <c r="N379" s="2" t="n"/>
      <c r="O379" s="2" t="n"/>
      <c r="P379" s="2" t="n"/>
      <c r="Q379" s="4">
        <f>IF(OR(A379="",E379=""),"",IF(MAXIFS($E$2:$E$1001,$A$2:$A$1001,A379,$E$2:$E$1001,"&lt;"&amp;E379)=0,"",SUMIFS($G$2:$G$1001,$A$2:$A$1001,A379,$E$2:$E$1001,MAXIFS($E$2:$E$1001,$A$2:$A$1001,A379,$E$2:$E$1001,"&lt;"&amp;E379))))</f>
        <v/>
      </c>
      <c r="R379" s="9">
        <f>IF(OR(Q379="",G379=""),"",G379-Q379)</f>
        <v/>
      </c>
      <c r="S379" s="9">
        <f>IF(R379="","",SUMIFS($R$2:$R$1001,$A$2:$A$1001,A379,$E$2:$E$1001,"&lt;="&amp;E379))</f>
        <v/>
      </c>
      <c r="T379" s="5">
        <f>IF(A379="","",IF(R379="","initial",IF(ABS(R379)&lt;=ShiftThresholdDays,"unchanged",IF(R379&gt;0,"delayed","accelerated"))))</f>
        <v/>
      </c>
    </row>
    <row r="380">
      <c r="A380" s="2" t="n"/>
      <c r="B380" s="2" t="n"/>
      <c r="C380" s="2" t="n"/>
      <c r="D380" s="2" t="n"/>
      <c r="E380" s="2" t="n"/>
      <c r="F380" s="2" t="n"/>
      <c r="G380" s="3" t="n"/>
      <c r="H380" s="2" t="n"/>
      <c r="I380" s="3" t="n"/>
      <c r="J380" s="2" t="n"/>
      <c r="K380" s="2" t="n"/>
      <c r="L380" s="2" t="n"/>
      <c r="M380" s="2" t="n"/>
      <c r="N380" s="2" t="n"/>
      <c r="O380" s="2" t="n"/>
      <c r="P380" s="2" t="n"/>
      <c r="Q380" s="4">
        <f>IF(OR(A380="",E380=""),"",IF(MAXIFS($E$2:$E$1001,$A$2:$A$1001,A380,$E$2:$E$1001,"&lt;"&amp;E380)=0,"",SUMIFS($G$2:$G$1001,$A$2:$A$1001,A380,$E$2:$E$1001,MAXIFS($E$2:$E$1001,$A$2:$A$1001,A380,$E$2:$E$1001,"&lt;"&amp;E380))))</f>
        <v/>
      </c>
      <c r="R380" s="9">
        <f>IF(OR(Q380="",G380=""),"",G380-Q380)</f>
        <v/>
      </c>
      <c r="S380" s="9">
        <f>IF(R380="","",SUMIFS($R$2:$R$1001,$A$2:$A$1001,A380,$E$2:$E$1001,"&lt;="&amp;E380))</f>
        <v/>
      </c>
      <c r="T380" s="5">
        <f>IF(A380="","",IF(R380="","initial",IF(ABS(R380)&lt;=ShiftThresholdDays,"unchanged",IF(R380&gt;0,"delayed","accelerated"))))</f>
        <v/>
      </c>
    </row>
    <row r="381">
      <c r="A381" s="2" t="n"/>
      <c r="B381" s="2" t="n"/>
      <c r="C381" s="2" t="n"/>
      <c r="D381" s="2" t="n"/>
      <c r="E381" s="2" t="n"/>
      <c r="F381" s="2" t="n"/>
      <c r="G381" s="3" t="n"/>
      <c r="H381" s="2" t="n"/>
      <c r="I381" s="3" t="n"/>
      <c r="J381" s="2" t="n"/>
      <c r="K381" s="2" t="n"/>
      <c r="L381" s="2" t="n"/>
      <c r="M381" s="2" t="n"/>
      <c r="N381" s="2" t="n"/>
      <c r="O381" s="2" t="n"/>
      <c r="P381" s="2" t="n"/>
      <c r="Q381" s="4">
        <f>IF(OR(A381="",E381=""),"",IF(MAXIFS($E$2:$E$1001,$A$2:$A$1001,A381,$E$2:$E$1001,"&lt;"&amp;E381)=0,"",SUMIFS($G$2:$G$1001,$A$2:$A$1001,A381,$E$2:$E$1001,MAXIFS($E$2:$E$1001,$A$2:$A$1001,A381,$E$2:$E$1001,"&lt;"&amp;E381))))</f>
        <v/>
      </c>
      <c r="R381" s="9">
        <f>IF(OR(Q381="",G381=""),"",G381-Q381)</f>
        <v/>
      </c>
      <c r="S381" s="9">
        <f>IF(R381="","",SUMIFS($R$2:$R$1001,$A$2:$A$1001,A381,$E$2:$E$1001,"&lt;="&amp;E381))</f>
        <v/>
      </c>
      <c r="T381" s="5">
        <f>IF(A381="","",IF(R381="","initial",IF(ABS(R381)&lt;=ShiftThresholdDays,"unchanged",IF(R381&gt;0,"delayed","accelerated"))))</f>
        <v/>
      </c>
    </row>
    <row r="382">
      <c r="A382" s="2" t="n"/>
      <c r="B382" s="2" t="n"/>
      <c r="C382" s="2" t="n"/>
      <c r="D382" s="2" t="n"/>
      <c r="E382" s="2" t="n"/>
      <c r="F382" s="2" t="n"/>
      <c r="G382" s="3" t="n"/>
      <c r="H382" s="2" t="n"/>
      <c r="I382" s="3" t="n"/>
      <c r="J382" s="2" t="n"/>
      <c r="K382" s="2" t="n"/>
      <c r="L382" s="2" t="n"/>
      <c r="M382" s="2" t="n"/>
      <c r="N382" s="2" t="n"/>
      <c r="O382" s="2" t="n"/>
      <c r="P382" s="2" t="n"/>
      <c r="Q382" s="4">
        <f>IF(OR(A382="",E382=""),"",IF(MAXIFS($E$2:$E$1001,$A$2:$A$1001,A382,$E$2:$E$1001,"&lt;"&amp;E382)=0,"",SUMIFS($G$2:$G$1001,$A$2:$A$1001,A382,$E$2:$E$1001,MAXIFS($E$2:$E$1001,$A$2:$A$1001,A382,$E$2:$E$1001,"&lt;"&amp;E382))))</f>
        <v/>
      </c>
      <c r="R382" s="9">
        <f>IF(OR(Q382="",G382=""),"",G382-Q382)</f>
        <v/>
      </c>
      <c r="S382" s="9">
        <f>IF(R382="","",SUMIFS($R$2:$R$1001,$A$2:$A$1001,A382,$E$2:$E$1001,"&lt;="&amp;E382))</f>
        <v/>
      </c>
      <c r="T382" s="5">
        <f>IF(A382="","",IF(R382="","initial",IF(ABS(R382)&lt;=ShiftThresholdDays,"unchanged",IF(R382&gt;0,"delayed","accelerated"))))</f>
        <v/>
      </c>
    </row>
    <row r="383">
      <c r="A383" s="2" t="n"/>
      <c r="B383" s="2" t="n"/>
      <c r="C383" s="2" t="n"/>
      <c r="D383" s="2" t="n"/>
      <c r="E383" s="2" t="n"/>
      <c r="F383" s="2" t="n"/>
      <c r="G383" s="3" t="n"/>
      <c r="H383" s="2" t="n"/>
      <c r="I383" s="3" t="n"/>
      <c r="J383" s="2" t="n"/>
      <c r="K383" s="2" t="n"/>
      <c r="L383" s="2" t="n"/>
      <c r="M383" s="2" t="n"/>
      <c r="N383" s="2" t="n"/>
      <c r="O383" s="2" t="n"/>
      <c r="P383" s="2" t="n"/>
      <c r="Q383" s="4">
        <f>IF(OR(A383="",E383=""),"",IF(MAXIFS($E$2:$E$1001,$A$2:$A$1001,A383,$E$2:$E$1001,"&lt;"&amp;E383)=0,"",SUMIFS($G$2:$G$1001,$A$2:$A$1001,A383,$E$2:$E$1001,MAXIFS($E$2:$E$1001,$A$2:$A$1001,A383,$E$2:$E$1001,"&lt;"&amp;E383))))</f>
        <v/>
      </c>
      <c r="R383" s="9">
        <f>IF(OR(Q383="",G383=""),"",G383-Q383)</f>
        <v/>
      </c>
      <c r="S383" s="9">
        <f>IF(R383="","",SUMIFS($R$2:$R$1001,$A$2:$A$1001,A383,$E$2:$E$1001,"&lt;="&amp;E383))</f>
        <v/>
      </c>
      <c r="T383" s="5">
        <f>IF(A383="","",IF(R383="","initial",IF(ABS(R383)&lt;=ShiftThresholdDays,"unchanged",IF(R383&gt;0,"delayed","accelerated"))))</f>
        <v/>
      </c>
    </row>
    <row r="384">
      <c r="A384" s="2" t="n"/>
      <c r="B384" s="2" t="n"/>
      <c r="C384" s="2" t="n"/>
      <c r="D384" s="2" t="n"/>
      <c r="E384" s="2" t="n"/>
      <c r="F384" s="2" t="n"/>
      <c r="G384" s="3" t="n"/>
      <c r="H384" s="2" t="n"/>
      <c r="I384" s="3" t="n"/>
      <c r="J384" s="2" t="n"/>
      <c r="K384" s="2" t="n"/>
      <c r="L384" s="2" t="n"/>
      <c r="M384" s="2" t="n"/>
      <c r="N384" s="2" t="n"/>
      <c r="O384" s="2" t="n"/>
      <c r="P384" s="2" t="n"/>
      <c r="Q384" s="4">
        <f>IF(OR(A384="",E384=""),"",IF(MAXIFS($E$2:$E$1001,$A$2:$A$1001,A384,$E$2:$E$1001,"&lt;"&amp;E384)=0,"",SUMIFS($G$2:$G$1001,$A$2:$A$1001,A384,$E$2:$E$1001,MAXIFS($E$2:$E$1001,$A$2:$A$1001,A384,$E$2:$E$1001,"&lt;"&amp;E384))))</f>
        <v/>
      </c>
      <c r="R384" s="9">
        <f>IF(OR(Q384="",G384=""),"",G384-Q384)</f>
        <v/>
      </c>
      <c r="S384" s="9">
        <f>IF(R384="","",SUMIFS($R$2:$R$1001,$A$2:$A$1001,A384,$E$2:$E$1001,"&lt;="&amp;E384))</f>
        <v/>
      </c>
      <c r="T384" s="5">
        <f>IF(A384="","",IF(R384="","initial",IF(ABS(R384)&lt;=ShiftThresholdDays,"unchanged",IF(R384&gt;0,"delayed","accelerated"))))</f>
        <v/>
      </c>
    </row>
    <row r="385">
      <c r="A385" s="2" t="n"/>
      <c r="B385" s="2" t="n"/>
      <c r="C385" s="2" t="n"/>
      <c r="D385" s="2" t="n"/>
      <c r="E385" s="2" t="n"/>
      <c r="F385" s="2" t="n"/>
      <c r="G385" s="3" t="n"/>
      <c r="H385" s="2" t="n"/>
      <c r="I385" s="3" t="n"/>
      <c r="J385" s="2" t="n"/>
      <c r="K385" s="2" t="n"/>
      <c r="L385" s="2" t="n"/>
      <c r="M385" s="2" t="n"/>
      <c r="N385" s="2" t="n"/>
      <c r="O385" s="2" t="n"/>
      <c r="P385" s="2" t="n"/>
      <c r="Q385" s="4">
        <f>IF(OR(A385="",E385=""),"",IF(MAXIFS($E$2:$E$1001,$A$2:$A$1001,A385,$E$2:$E$1001,"&lt;"&amp;E385)=0,"",SUMIFS($G$2:$G$1001,$A$2:$A$1001,A385,$E$2:$E$1001,MAXIFS($E$2:$E$1001,$A$2:$A$1001,A385,$E$2:$E$1001,"&lt;"&amp;E385))))</f>
        <v/>
      </c>
      <c r="R385" s="9">
        <f>IF(OR(Q385="",G385=""),"",G385-Q385)</f>
        <v/>
      </c>
      <c r="S385" s="9">
        <f>IF(R385="","",SUMIFS($R$2:$R$1001,$A$2:$A$1001,A385,$E$2:$E$1001,"&lt;="&amp;E385))</f>
        <v/>
      </c>
      <c r="T385" s="5">
        <f>IF(A385="","",IF(R385="","initial",IF(ABS(R385)&lt;=ShiftThresholdDays,"unchanged",IF(R385&gt;0,"delayed","accelerated"))))</f>
        <v/>
      </c>
    </row>
    <row r="386">
      <c r="A386" s="2" t="n"/>
      <c r="B386" s="2" t="n"/>
      <c r="C386" s="2" t="n"/>
      <c r="D386" s="2" t="n"/>
      <c r="E386" s="2" t="n"/>
      <c r="F386" s="2" t="n"/>
      <c r="G386" s="3" t="n"/>
      <c r="H386" s="2" t="n"/>
      <c r="I386" s="3" t="n"/>
      <c r="J386" s="2" t="n"/>
      <c r="K386" s="2" t="n"/>
      <c r="L386" s="2" t="n"/>
      <c r="M386" s="2" t="n"/>
      <c r="N386" s="2" t="n"/>
      <c r="O386" s="2" t="n"/>
      <c r="P386" s="2" t="n"/>
      <c r="Q386" s="4">
        <f>IF(OR(A386="",E386=""),"",IF(MAXIFS($E$2:$E$1001,$A$2:$A$1001,A386,$E$2:$E$1001,"&lt;"&amp;E386)=0,"",SUMIFS($G$2:$G$1001,$A$2:$A$1001,A386,$E$2:$E$1001,MAXIFS($E$2:$E$1001,$A$2:$A$1001,A386,$E$2:$E$1001,"&lt;"&amp;E386))))</f>
        <v/>
      </c>
      <c r="R386" s="9">
        <f>IF(OR(Q386="",G386=""),"",G386-Q386)</f>
        <v/>
      </c>
      <c r="S386" s="9">
        <f>IF(R386="","",SUMIFS($R$2:$R$1001,$A$2:$A$1001,A386,$E$2:$E$1001,"&lt;="&amp;E386))</f>
        <v/>
      </c>
      <c r="T386" s="5">
        <f>IF(A386="","",IF(R386="","initial",IF(ABS(R386)&lt;=ShiftThresholdDays,"unchanged",IF(R386&gt;0,"delayed","accelerated"))))</f>
        <v/>
      </c>
    </row>
    <row r="387">
      <c r="A387" s="2" t="n"/>
      <c r="B387" s="2" t="n"/>
      <c r="C387" s="2" t="n"/>
      <c r="D387" s="2" t="n"/>
      <c r="E387" s="2" t="n"/>
      <c r="F387" s="2" t="n"/>
      <c r="G387" s="3" t="n"/>
      <c r="H387" s="2" t="n"/>
      <c r="I387" s="3" t="n"/>
      <c r="J387" s="2" t="n"/>
      <c r="K387" s="2" t="n"/>
      <c r="L387" s="2" t="n"/>
      <c r="M387" s="2" t="n"/>
      <c r="N387" s="2" t="n"/>
      <c r="O387" s="2" t="n"/>
      <c r="P387" s="2" t="n"/>
      <c r="Q387" s="4">
        <f>IF(OR(A387="",E387=""),"",IF(MAXIFS($E$2:$E$1001,$A$2:$A$1001,A387,$E$2:$E$1001,"&lt;"&amp;E387)=0,"",SUMIFS($G$2:$G$1001,$A$2:$A$1001,A387,$E$2:$E$1001,MAXIFS($E$2:$E$1001,$A$2:$A$1001,A387,$E$2:$E$1001,"&lt;"&amp;E387))))</f>
        <v/>
      </c>
      <c r="R387" s="9">
        <f>IF(OR(Q387="",G387=""),"",G387-Q387)</f>
        <v/>
      </c>
      <c r="S387" s="9">
        <f>IF(R387="","",SUMIFS($R$2:$R$1001,$A$2:$A$1001,A387,$E$2:$E$1001,"&lt;="&amp;E387))</f>
        <v/>
      </c>
      <c r="T387" s="5">
        <f>IF(A387="","",IF(R387="","initial",IF(ABS(R387)&lt;=ShiftThresholdDays,"unchanged",IF(R387&gt;0,"delayed","accelerated"))))</f>
        <v/>
      </c>
    </row>
    <row r="388">
      <c r="A388" s="2" t="n"/>
      <c r="B388" s="2" t="n"/>
      <c r="C388" s="2" t="n"/>
      <c r="D388" s="2" t="n"/>
      <c r="E388" s="2" t="n"/>
      <c r="F388" s="2" t="n"/>
      <c r="G388" s="3" t="n"/>
      <c r="H388" s="2" t="n"/>
      <c r="I388" s="3" t="n"/>
      <c r="J388" s="2" t="n"/>
      <c r="K388" s="2" t="n"/>
      <c r="L388" s="2" t="n"/>
      <c r="M388" s="2" t="n"/>
      <c r="N388" s="2" t="n"/>
      <c r="O388" s="2" t="n"/>
      <c r="P388" s="2" t="n"/>
      <c r="Q388" s="4">
        <f>IF(OR(A388="",E388=""),"",IF(MAXIFS($E$2:$E$1001,$A$2:$A$1001,A388,$E$2:$E$1001,"&lt;"&amp;E388)=0,"",SUMIFS($G$2:$G$1001,$A$2:$A$1001,A388,$E$2:$E$1001,MAXIFS($E$2:$E$1001,$A$2:$A$1001,A388,$E$2:$E$1001,"&lt;"&amp;E388))))</f>
        <v/>
      </c>
      <c r="R388" s="9">
        <f>IF(OR(Q388="",G388=""),"",G388-Q388)</f>
        <v/>
      </c>
      <c r="S388" s="9">
        <f>IF(R388="","",SUMIFS($R$2:$R$1001,$A$2:$A$1001,A388,$E$2:$E$1001,"&lt;="&amp;E388))</f>
        <v/>
      </c>
      <c r="T388" s="5">
        <f>IF(A388="","",IF(R388="","initial",IF(ABS(R388)&lt;=ShiftThresholdDays,"unchanged",IF(R388&gt;0,"delayed","accelerated"))))</f>
        <v/>
      </c>
    </row>
    <row r="389">
      <c r="A389" s="2" t="n"/>
      <c r="B389" s="2" t="n"/>
      <c r="C389" s="2" t="n"/>
      <c r="D389" s="2" t="n"/>
      <c r="E389" s="2" t="n"/>
      <c r="F389" s="2" t="n"/>
      <c r="G389" s="3" t="n"/>
      <c r="H389" s="2" t="n"/>
      <c r="I389" s="3" t="n"/>
      <c r="J389" s="2" t="n"/>
      <c r="K389" s="2" t="n"/>
      <c r="L389" s="2" t="n"/>
      <c r="M389" s="2" t="n"/>
      <c r="N389" s="2" t="n"/>
      <c r="O389" s="2" t="n"/>
      <c r="P389" s="2" t="n"/>
      <c r="Q389" s="4">
        <f>IF(OR(A389="",E389=""),"",IF(MAXIFS($E$2:$E$1001,$A$2:$A$1001,A389,$E$2:$E$1001,"&lt;"&amp;E389)=0,"",SUMIFS($G$2:$G$1001,$A$2:$A$1001,A389,$E$2:$E$1001,MAXIFS($E$2:$E$1001,$A$2:$A$1001,A389,$E$2:$E$1001,"&lt;"&amp;E389))))</f>
        <v/>
      </c>
      <c r="R389" s="9">
        <f>IF(OR(Q389="",G389=""),"",G389-Q389)</f>
        <v/>
      </c>
      <c r="S389" s="9">
        <f>IF(R389="","",SUMIFS($R$2:$R$1001,$A$2:$A$1001,A389,$E$2:$E$1001,"&lt;="&amp;E389))</f>
        <v/>
      </c>
      <c r="T389" s="5">
        <f>IF(A389="","",IF(R389="","initial",IF(ABS(R389)&lt;=ShiftThresholdDays,"unchanged",IF(R389&gt;0,"delayed","accelerated"))))</f>
        <v/>
      </c>
    </row>
    <row r="390">
      <c r="A390" s="2" t="n"/>
      <c r="B390" s="2" t="n"/>
      <c r="C390" s="2" t="n"/>
      <c r="D390" s="2" t="n"/>
      <c r="E390" s="2" t="n"/>
      <c r="F390" s="2" t="n"/>
      <c r="G390" s="3" t="n"/>
      <c r="H390" s="2" t="n"/>
      <c r="I390" s="3" t="n"/>
      <c r="J390" s="2" t="n"/>
      <c r="K390" s="2" t="n"/>
      <c r="L390" s="2" t="n"/>
      <c r="M390" s="2" t="n"/>
      <c r="N390" s="2" t="n"/>
      <c r="O390" s="2" t="n"/>
      <c r="P390" s="2" t="n"/>
      <c r="Q390" s="4">
        <f>IF(OR(A390="",E390=""),"",IF(MAXIFS($E$2:$E$1001,$A$2:$A$1001,A390,$E$2:$E$1001,"&lt;"&amp;E390)=0,"",SUMIFS($G$2:$G$1001,$A$2:$A$1001,A390,$E$2:$E$1001,MAXIFS($E$2:$E$1001,$A$2:$A$1001,A390,$E$2:$E$1001,"&lt;"&amp;E390))))</f>
        <v/>
      </c>
      <c r="R390" s="9">
        <f>IF(OR(Q390="",G390=""),"",G390-Q390)</f>
        <v/>
      </c>
      <c r="S390" s="9">
        <f>IF(R390="","",SUMIFS($R$2:$R$1001,$A$2:$A$1001,A390,$E$2:$E$1001,"&lt;="&amp;E390))</f>
        <v/>
      </c>
      <c r="T390" s="5">
        <f>IF(A390="","",IF(R390="","initial",IF(ABS(R390)&lt;=ShiftThresholdDays,"unchanged",IF(R390&gt;0,"delayed","accelerated"))))</f>
        <v/>
      </c>
    </row>
    <row r="391">
      <c r="A391" s="2" t="n"/>
      <c r="B391" s="2" t="n"/>
      <c r="C391" s="2" t="n"/>
      <c r="D391" s="2" t="n"/>
      <c r="E391" s="2" t="n"/>
      <c r="F391" s="2" t="n"/>
      <c r="G391" s="3" t="n"/>
      <c r="H391" s="2" t="n"/>
      <c r="I391" s="3" t="n"/>
      <c r="J391" s="2" t="n"/>
      <c r="K391" s="2" t="n"/>
      <c r="L391" s="2" t="n"/>
      <c r="M391" s="2" t="n"/>
      <c r="N391" s="2" t="n"/>
      <c r="O391" s="2" t="n"/>
      <c r="P391" s="2" t="n"/>
      <c r="Q391" s="4">
        <f>IF(OR(A391="",E391=""),"",IF(MAXIFS($E$2:$E$1001,$A$2:$A$1001,A391,$E$2:$E$1001,"&lt;"&amp;E391)=0,"",SUMIFS($G$2:$G$1001,$A$2:$A$1001,A391,$E$2:$E$1001,MAXIFS($E$2:$E$1001,$A$2:$A$1001,A391,$E$2:$E$1001,"&lt;"&amp;E391))))</f>
        <v/>
      </c>
      <c r="R391" s="9">
        <f>IF(OR(Q391="",G391=""),"",G391-Q391)</f>
        <v/>
      </c>
      <c r="S391" s="9">
        <f>IF(R391="","",SUMIFS($R$2:$R$1001,$A$2:$A$1001,A391,$E$2:$E$1001,"&lt;="&amp;E391))</f>
        <v/>
      </c>
      <c r="T391" s="5">
        <f>IF(A391="","",IF(R391="","initial",IF(ABS(R391)&lt;=ShiftThresholdDays,"unchanged",IF(R391&gt;0,"delayed","accelerated"))))</f>
        <v/>
      </c>
    </row>
    <row r="392">
      <c r="A392" s="2" t="n"/>
      <c r="B392" s="2" t="n"/>
      <c r="C392" s="2" t="n"/>
      <c r="D392" s="2" t="n"/>
      <c r="E392" s="2" t="n"/>
      <c r="F392" s="2" t="n"/>
      <c r="G392" s="3" t="n"/>
      <c r="H392" s="2" t="n"/>
      <c r="I392" s="3" t="n"/>
      <c r="J392" s="2" t="n"/>
      <c r="K392" s="2" t="n"/>
      <c r="L392" s="2" t="n"/>
      <c r="M392" s="2" t="n"/>
      <c r="N392" s="2" t="n"/>
      <c r="O392" s="2" t="n"/>
      <c r="P392" s="2" t="n"/>
      <c r="Q392" s="4">
        <f>IF(OR(A392="",E392=""),"",IF(MAXIFS($E$2:$E$1001,$A$2:$A$1001,A392,$E$2:$E$1001,"&lt;"&amp;E392)=0,"",SUMIFS($G$2:$G$1001,$A$2:$A$1001,A392,$E$2:$E$1001,MAXIFS($E$2:$E$1001,$A$2:$A$1001,A392,$E$2:$E$1001,"&lt;"&amp;E392))))</f>
        <v/>
      </c>
      <c r="R392" s="9">
        <f>IF(OR(Q392="",G392=""),"",G392-Q392)</f>
        <v/>
      </c>
      <c r="S392" s="9">
        <f>IF(R392="","",SUMIFS($R$2:$R$1001,$A$2:$A$1001,A392,$E$2:$E$1001,"&lt;="&amp;E392))</f>
        <v/>
      </c>
      <c r="T392" s="5">
        <f>IF(A392="","",IF(R392="","initial",IF(ABS(R392)&lt;=ShiftThresholdDays,"unchanged",IF(R392&gt;0,"delayed","accelerated"))))</f>
        <v/>
      </c>
    </row>
    <row r="393">
      <c r="A393" s="2" t="n"/>
      <c r="B393" s="2" t="n"/>
      <c r="C393" s="2" t="n"/>
      <c r="D393" s="2" t="n"/>
      <c r="E393" s="2" t="n"/>
      <c r="F393" s="2" t="n"/>
      <c r="G393" s="3" t="n"/>
      <c r="H393" s="2" t="n"/>
      <c r="I393" s="3" t="n"/>
      <c r="J393" s="2" t="n"/>
      <c r="K393" s="2" t="n"/>
      <c r="L393" s="2" t="n"/>
      <c r="M393" s="2" t="n"/>
      <c r="N393" s="2" t="n"/>
      <c r="O393" s="2" t="n"/>
      <c r="P393" s="2" t="n"/>
      <c r="Q393" s="4">
        <f>IF(OR(A393="",E393=""),"",IF(MAXIFS($E$2:$E$1001,$A$2:$A$1001,A393,$E$2:$E$1001,"&lt;"&amp;E393)=0,"",SUMIFS($G$2:$G$1001,$A$2:$A$1001,A393,$E$2:$E$1001,MAXIFS($E$2:$E$1001,$A$2:$A$1001,A393,$E$2:$E$1001,"&lt;"&amp;E393))))</f>
        <v/>
      </c>
      <c r="R393" s="9">
        <f>IF(OR(Q393="",G393=""),"",G393-Q393)</f>
        <v/>
      </c>
      <c r="S393" s="9">
        <f>IF(R393="","",SUMIFS($R$2:$R$1001,$A$2:$A$1001,A393,$E$2:$E$1001,"&lt;="&amp;E393))</f>
        <v/>
      </c>
      <c r="T393" s="5">
        <f>IF(A393="","",IF(R393="","initial",IF(ABS(R393)&lt;=ShiftThresholdDays,"unchanged",IF(R393&gt;0,"delayed","accelerated"))))</f>
        <v/>
      </c>
    </row>
    <row r="394">
      <c r="A394" s="2" t="n"/>
      <c r="B394" s="2" t="n"/>
      <c r="C394" s="2" t="n"/>
      <c r="D394" s="2" t="n"/>
      <c r="E394" s="2" t="n"/>
      <c r="F394" s="2" t="n"/>
      <c r="G394" s="3" t="n"/>
      <c r="H394" s="2" t="n"/>
      <c r="I394" s="3" t="n"/>
      <c r="J394" s="2" t="n"/>
      <c r="K394" s="2" t="n"/>
      <c r="L394" s="2" t="n"/>
      <c r="M394" s="2" t="n"/>
      <c r="N394" s="2" t="n"/>
      <c r="O394" s="2" t="n"/>
      <c r="P394" s="2" t="n"/>
      <c r="Q394" s="4">
        <f>IF(OR(A394="",E394=""),"",IF(MAXIFS($E$2:$E$1001,$A$2:$A$1001,A394,$E$2:$E$1001,"&lt;"&amp;E394)=0,"",SUMIFS($G$2:$G$1001,$A$2:$A$1001,A394,$E$2:$E$1001,MAXIFS($E$2:$E$1001,$A$2:$A$1001,A394,$E$2:$E$1001,"&lt;"&amp;E394))))</f>
        <v/>
      </c>
      <c r="R394" s="9">
        <f>IF(OR(Q394="",G394=""),"",G394-Q394)</f>
        <v/>
      </c>
      <c r="S394" s="9">
        <f>IF(R394="","",SUMIFS($R$2:$R$1001,$A$2:$A$1001,A394,$E$2:$E$1001,"&lt;="&amp;E394))</f>
        <v/>
      </c>
      <c r="T394" s="5">
        <f>IF(A394="","",IF(R394="","initial",IF(ABS(R394)&lt;=ShiftThresholdDays,"unchanged",IF(R394&gt;0,"delayed","accelerated"))))</f>
        <v/>
      </c>
    </row>
    <row r="395">
      <c r="A395" s="2" t="n"/>
      <c r="B395" s="2" t="n"/>
      <c r="C395" s="2" t="n"/>
      <c r="D395" s="2" t="n"/>
      <c r="E395" s="2" t="n"/>
      <c r="F395" s="2" t="n"/>
      <c r="G395" s="3" t="n"/>
      <c r="H395" s="2" t="n"/>
      <c r="I395" s="3" t="n"/>
      <c r="J395" s="2" t="n"/>
      <c r="K395" s="2" t="n"/>
      <c r="L395" s="2" t="n"/>
      <c r="M395" s="2" t="n"/>
      <c r="N395" s="2" t="n"/>
      <c r="O395" s="2" t="n"/>
      <c r="P395" s="2" t="n"/>
      <c r="Q395" s="4">
        <f>IF(OR(A395="",E395=""),"",IF(MAXIFS($E$2:$E$1001,$A$2:$A$1001,A395,$E$2:$E$1001,"&lt;"&amp;E395)=0,"",SUMIFS($G$2:$G$1001,$A$2:$A$1001,A395,$E$2:$E$1001,MAXIFS($E$2:$E$1001,$A$2:$A$1001,A395,$E$2:$E$1001,"&lt;"&amp;E395))))</f>
        <v/>
      </c>
      <c r="R395" s="9">
        <f>IF(OR(Q395="",G395=""),"",G395-Q395)</f>
        <v/>
      </c>
      <c r="S395" s="9">
        <f>IF(R395="","",SUMIFS($R$2:$R$1001,$A$2:$A$1001,A395,$E$2:$E$1001,"&lt;="&amp;E395))</f>
        <v/>
      </c>
      <c r="T395" s="5">
        <f>IF(A395="","",IF(R395="","initial",IF(ABS(R395)&lt;=ShiftThresholdDays,"unchanged",IF(R395&gt;0,"delayed","accelerated"))))</f>
        <v/>
      </c>
    </row>
    <row r="396">
      <c r="A396" s="2" t="n"/>
      <c r="B396" s="2" t="n"/>
      <c r="C396" s="2" t="n"/>
      <c r="D396" s="2" t="n"/>
      <c r="E396" s="2" t="n"/>
      <c r="F396" s="2" t="n"/>
      <c r="G396" s="3" t="n"/>
      <c r="H396" s="2" t="n"/>
      <c r="I396" s="3" t="n"/>
      <c r="J396" s="2" t="n"/>
      <c r="K396" s="2" t="n"/>
      <c r="L396" s="2" t="n"/>
      <c r="M396" s="2" t="n"/>
      <c r="N396" s="2" t="n"/>
      <c r="O396" s="2" t="n"/>
      <c r="P396" s="2" t="n"/>
      <c r="Q396" s="4">
        <f>IF(OR(A396="",E396=""),"",IF(MAXIFS($E$2:$E$1001,$A$2:$A$1001,A396,$E$2:$E$1001,"&lt;"&amp;E396)=0,"",SUMIFS($G$2:$G$1001,$A$2:$A$1001,A396,$E$2:$E$1001,MAXIFS($E$2:$E$1001,$A$2:$A$1001,A396,$E$2:$E$1001,"&lt;"&amp;E396))))</f>
        <v/>
      </c>
      <c r="R396" s="9">
        <f>IF(OR(Q396="",G396=""),"",G396-Q396)</f>
        <v/>
      </c>
      <c r="S396" s="9">
        <f>IF(R396="","",SUMIFS($R$2:$R$1001,$A$2:$A$1001,A396,$E$2:$E$1001,"&lt;="&amp;E396))</f>
        <v/>
      </c>
      <c r="T396" s="5">
        <f>IF(A396="","",IF(R396="","initial",IF(ABS(R396)&lt;=ShiftThresholdDays,"unchanged",IF(R396&gt;0,"delayed","accelerated"))))</f>
        <v/>
      </c>
    </row>
    <row r="397">
      <c r="A397" s="2" t="n"/>
      <c r="B397" s="2" t="n"/>
      <c r="C397" s="2" t="n"/>
      <c r="D397" s="2" t="n"/>
      <c r="E397" s="2" t="n"/>
      <c r="F397" s="2" t="n"/>
      <c r="G397" s="3" t="n"/>
      <c r="H397" s="2" t="n"/>
      <c r="I397" s="3" t="n"/>
      <c r="J397" s="2" t="n"/>
      <c r="K397" s="2" t="n"/>
      <c r="L397" s="2" t="n"/>
      <c r="M397" s="2" t="n"/>
      <c r="N397" s="2" t="n"/>
      <c r="O397" s="2" t="n"/>
      <c r="P397" s="2" t="n"/>
      <c r="Q397" s="4">
        <f>IF(OR(A397="",E397=""),"",IF(MAXIFS($E$2:$E$1001,$A$2:$A$1001,A397,$E$2:$E$1001,"&lt;"&amp;E397)=0,"",SUMIFS($G$2:$G$1001,$A$2:$A$1001,A397,$E$2:$E$1001,MAXIFS($E$2:$E$1001,$A$2:$A$1001,A397,$E$2:$E$1001,"&lt;"&amp;E397))))</f>
        <v/>
      </c>
      <c r="R397" s="9">
        <f>IF(OR(Q397="",G397=""),"",G397-Q397)</f>
        <v/>
      </c>
      <c r="S397" s="9">
        <f>IF(R397="","",SUMIFS($R$2:$R$1001,$A$2:$A$1001,A397,$E$2:$E$1001,"&lt;="&amp;E397))</f>
        <v/>
      </c>
      <c r="T397" s="5">
        <f>IF(A397="","",IF(R397="","initial",IF(ABS(R397)&lt;=ShiftThresholdDays,"unchanged",IF(R397&gt;0,"delayed","accelerated"))))</f>
        <v/>
      </c>
    </row>
    <row r="398">
      <c r="A398" s="2" t="n"/>
      <c r="B398" s="2" t="n"/>
      <c r="C398" s="2" t="n"/>
      <c r="D398" s="2" t="n"/>
      <c r="E398" s="2" t="n"/>
      <c r="F398" s="2" t="n"/>
      <c r="G398" s="3" t="n"/>
      <c r="H398" s="2" t="n"/>
      <c r="I398" s="3" t="n"/>
      <c r="J398" s="2" t="n"/>
      <c r="K398" s="2" t="n"/>
      <c r="L398" s="2" t="n"/>
      <c r="M398" s="2" t="n"/>
      <c r="N398" s="2" t="n"/>
      <c r="O398" s="2" t="n"/>
      <c r="P398" s="2" t="n"/>
      <c r="Q398" s="4">
        <f>IF(OR(A398="",E398=""),"",IF(MAXIFS($E$2:$E$1001,$A$2:$A$1001,A398,$E$2:$E$1001,"&lt;"&amp;E398)=0,"",SUMIFS($G$2:$G$1001,$A$2:$A$1001,A398,$E$2:$E$1001,MAXIFS($E$2:$E$1001,$A$2:$A$1001,A398,$E$2:$E$1001,"&lt;"&amp;E398))))</f>
        <v/>
      </c>
      <c r="R398" s="9">
        <f>IF(OR(Q398="",G398=""),"",G398-Q398)</f>
        <v/>
      </c>
      <c r="S398" s="9">
        <f>IF(R398="","",SUMIFS($R$2:$R$1001,$A$2:$A$1001,A398,$E$2:$E$1001,"&lt;="&amp;E398))</f>
        <v/>
      </c>
      <c r="T398" s="5">
        <f>IF(A398="","",IF(R398="","initial",IF(ABS(R398)&lt;=ShiftThresholdDays,"unchanged",IF(R398&gt;0,"delayed","accelerated"))))</f>
        <v/>
      </c>
    </row>
    <row r="399">
      <c r="A399" s="2" t="n"/>
      <c r="B399" s="2" t="n"/>
      <c r="C399" s="2" t="n"/>
      <c r="D399" s="2" t="n"/>
      <c r="E399" s="2" t="n"/>
      <c r="F399" s="2" t="n"/>
      <c r="G399" s="3" t="n"/>
      <c r="H399" s="2" t="n"/>
      <c r="I399" s="3" t="n"/>
      <c r="J399" s="2" t="n"/>
      <c r="K399" s="2" t="n"/>
      <c r="L399" s="2" t="n"/>
      <c r="M399" s="2" t="n"/>
      <c r="N399" s="2" t="n"/>
      <c r="O399" s="2" t="n"/>
      <c r="P399" s="2" t="n"/>
      <c r="Q399" s="4">
        <f>IF(OR(A399="",E399=""),"",IF(MAXIFS($E$2:$E$1001,$A$2:$A$1001,A399,$E$2:$E$1001,"&lt;"&amp;E399)=0,"",SUMIFS($G$2:$G$1001,$A$2:$A$1001,A399,$E$2:$E$1001,MAXIFS($E$2:$E$1001,$A$2:$A$1001,A399,$E$2:$E$1001,"&lt;"&amp;E399))))</f>
        <v/>
      </c>
      <c r="R399" s="9">
        <f>IF(OR(Q399="",G399=""),"",G399-Q399)</f>
        <v/>
      </c>
      <c r="S399" s="9">
        <f>IF(R399="","",SUMIFS($R$2:$R$1001,$A$2:$A$1001,A399,$E$2:$E$1001,"&lt;="&amp;E399))</f>
        <v/>
      </c>
      <c r="T399" s="5">
        <f>IF(A399="","",IF(R399="","initial",IF(ABS(R399)&lt;=ShiftThresholdDays,"unchanged",IF(R399&gt;0,"delayed","accelerated"))))</f>
        <v/>
      </c>
    </row>
    <row r="400">
      <c r="A400" s="2" t="n"/>
      <c r="B400" s="2" t="n"/>
      <c r="C400" s="2" t="n"/>
      <c r="D400" s="2" t="n"/>
      <c r="E400" s="2" t="n"/>
      <c r="F400" s="2" t="n"/>
      <c r="G400" s="3" t="n"/>
      <c r="H400" s="2" t="n"/>
      <c r="I400" s="3" t="n"/>
      <c r="J400" s="2" t="n"/>
      <c r="K400" s="2" t="n"/>
      <c r="L400" s="2" t="n"/>
      <c r="M400" s="2" t="n"/>
      <c r="N400" s="2" t="n"/>
      <c r="O400" s="2" t="n"/>
      <c r="P400" s="2" t="n"/>
      <c r="Q400" s="4">
        <f>IF(OR(A400="",E400=""),"",IF(MAXIFS($E$2:$E$1001,$A$2:$A$1001,A400,$E$2:$E$1001,"&lt;"&amp;E400)=0,"",SUMIFS($G$2:$G$1001,$A$2:$A$1001,A400,$E$2:$E$1001,MAXIFS($E$2:$E$1001,$A$2:$A$1001,A400,$E$2:$E$1001,"&lt;"&amp;E400))))</f>
        <v/>
      </c>
      <c r="R400" s="9">
        <f>IF(OR(Q400="",G400=""),"",G400-Q400)</f>
        <v/>
      </c>
      <c r="S400" s="9">
        <f>IF(R400="","",SUMIFS($R$2:$R$1001,$A$2:$A$1001,A400,$E$2:$E$1001,"&lt;="&amp;E400))</f>
        <v/>
      </c>
      <c r="T400" s="5">
        <f>IF(A400="","",IF(R400="","initial",IF(ABS(R400)&lt;=ShiftThresholdDays,"unchanged",IF(R400&gt;0,"delayed","accelerated"))))</f>
        <v/>
      </c>
    </row>
    <row r="401">
      <c r="A401" s="2" t="n"/>
      <c r="B401" s="2" t="n"/>
      <c r="C401" s="2" t="n"/>
      <c r="D401" s="2" t="n"/>
      <c r="E401" s="2" t="n"/>
      <c r="F401" s="2" t="n"/>
      <c r="G401" s="3" t="n"/>
      <c r="H401" s="2" t="n"/>
      <c r="I401" s="3" t="n"/>
      <c r="J401" s="2" t="n"/>
      <c r="K401" s="2" t="n"/>
      <c r="L401" s="2" t="n"/>
      <c r="M401" s="2" t="n"/>
      <c r="N401" s="2" t="n"/>
      <c r="O401" s="2" t="n"/>
      <c r="P401" s="2" t="n"/>
      <c r="Q401" s="4">
        <f>IF(OR(A401="",E401=""),"",IF(MAXIFS($E$2:$E$1001,$A$2:$A$1001,A401,$E$2:$E$1001,"&lt;"&amp;E401)=0,"",SUMIFS($G$2:$G$1001,$A$2:$A$1001,A401,$E$2:$E$1001,MAXIFS($E$2:$E$1001,$A$2:$A$1001,A401,$E$2:$E$1001,"&lt;"&amp;E401))))</f>
        <v/>
      </c>
      <c r="R401" s="9">
        <f>IF(OR(Q401="",G401=""),"",G401-Q401)</f>
        <v/>
      </c>
      <c r="S401" s="9">
        <f>IF(R401="","",SUMIFS($R$2:$R$1001,$A$2:$A$1001,A401,$E$2:$E$1001,"&lt;="&amp;E401))</f>
        <v/>
      </c>
      <c r="T401" s="5">
        <f>IF(A401="","",IF(R401="","initial",IF(ABS(R401)&lt;=ShiftThresholdDays,"unchanged",IF(R401&gt;0,"delayed","accelerated"))))</f>
        <v/>
      </c>
    </row>
    <row r="402">
      <c r="A402" s="2" t="n"/>
      <c r="B402" s="2" t="n"/>
      <c r="C402" s="2" t="n"/>
      <c r="D402" s="2" t="n"/>
      <c r="E402" s="2" t="n"/>
      <c r="F402" s="2" t="n"/>
      <c r="G402" s="3" t="n"/>
      <c r="H402" s="2" t="n"/>
      <c r="I402" s="3" t="n"/>
      <c r="J402" s="2" t="n"/>
      <c r="K402" s="2" t="n"/>
      <c r="L402" s="2" t="n"/>
      <c r="M402" s="2" t="n"/>
      <c r="N402" s="2" t="n"/>
      <c r="O402" s="2" t="n"/>
      <c r="P402" s="2" t="n"/>
      <c r="Q402" s="4">
        <f>IF(OR(A402="",E402=""),"",IF(MAXIFS($E$2:$E$1001,$A$2:$A$1001,A402,$E$2:$E$1001,"&lt;"&amp;E402)=0,"",SUMIFS($G$2:$G$1001,$A$2:$A$1001,A402,$E$2:$E$1001,MAXIFS($E$2:$E$1001,$A$2:$A$1001,A402,$E$2:$E$1001,"&lt;"&amp;E402))))</f>
        <v/>
      </c>
      <c r="R402" s="9">
        <f>IF(OR(Q402="",G402=""),"",G402-Q402)</f>
        <v/>
      </c>
      <c r="S402" s="9">
        <f>IF(R402="","",SUMIFS($R$2:$R$1001,$A$2:$A$1001,A402,$E$2:$E$1001,"&lt;="&amp;E402))</f>
        <v/>
      </c>
      <c r="T402" s="5">
        <f>IF(A402="","",IF(R402="","initial",IF(ABS(R402)&lt;=ShiftThresholdDays,"unchanged",IF(R402&gt;0,"delayed","accelerated"))))</f>
        <v/>
      </c>
    </row>
    <row r="403">
      <c r="A403" s="2" t="n"/>
      <c r="B403" s="2" t="n"/>
      <c r="C403" s="2" t="n"/>
      <c r="D403" s="2" t="n"/>
      <c r="E403" s="2" t="n"/>
      <c r="F403" s="2" t="n"/>
      <c r="G403" s="3" t="n"/>
      <c r="H403" s="2" t="n"/>
      <c r="I403" s="3" t="n"/>
      <c r="J403" s="2" t="n"/>
      <c r="K403" s="2" t="n"/>
      <c r="L403" s="2" t="n"/>
      <c r="M403" s="2" t="n"/>
      <c r="N403" s="2" t="n"/>
      <c r="O403" s="2" t="n"/>
      <c r="P403" s="2" t="n"/>
      <c r="Q403" s="4">
        <f>IF(OR(A403="",E403=""),"",IF(MAXIFS($E$2:$E$1001,$A$2:$A$1001,A403,$E$2:$E$1001,"&lt;"&amp;E403)=0,"",SUMIFS($G$2:$G$1001,$A$2:$A$1001,A403,$E$2:$E$1001,MAXIFS($E$2:$E$1001,$A$2:$A$1001,A403,$E$2:$E$1001,"&lt;"&amp;E403))))</f>
        <v/>
      </c>
      <c r="R403" s="9">
        <f>IF(OR(Q403="",G403=""),"",G403-Q403)</f>
        <v/>
      </c>
      <c r="S403" s="9">
        <f>IF(R403="","",SUMIFS($R$2:$R$1001,$A$2:$A$1001,A403,$E$2:$E$1001,"&lt;="&amp;E403))</f>
        <v/>
      </c>
      <c r="T403" s="5">
        <f>IF(A403="","",IF(R403="","initial",IF(ABS(R403)&lt;=ShiftThresholdDays,"unchanged",IF(R403&gt;0,"delayed","accelerated"))))</f>
        <v/>
      </c>
    </row>
    <row r="404">
      <c r="A404" s="2" t="n"/>
      <c r="B404" s="2" t="n"/>
      <c r="C404" s="2" t="n"/>
      <c r="D404" s="2" t="n"/>
      <c r="E404" s="2" t="n"/>
      <c r="F404" s="2" t="n"/>
      <c r="G404" s="3" t="n"/>
      <c r="H404" s="2" t="n"/>
      <c r="I404" s="3" t="n"/>
      <c r="J404" s="2" t="n"/>
      <c r="K404" s="2" t="n"/>
      <c r="L404" s="2" t="n"/>
      <c r="M404" s="2" t="n"/>
      <c r="N404" s="2" t="n"/>
      <c r="O404" s="2" t="n"/>
      <c r="P404" s="2" t="n"/>
      <c r="Q404" s="4">
        <f>IF(OR(A404="",E404=""),"",IF(MAXIFS($E$2:$E$1001,$A$2:$A$1001,A404,$E$2:$E$1001,"&lt;"&amp;E404)=0,"",SUMIFS($G$2:$G$1001,$A$2:$A$1001,A404,$E$2:$E$1001,MAXIFS($E$2:$E$1001,$A$2:$A$1001,A404,$E$2:$E$1001,"&lt;"&amp;E404))))</f>
        <v/>
      </c>
      <c r="R404" s="9">
        <f>IF(OR(Q404="",G404=""),"",G404-Q404)</f>
        <v/>
      </c>
      <c r="S404" s="9">
        <f>IF(R404="","",SUMIFS($R$2:$R$1001,$A$2:$A$1001,A404,$E$2:$E$1001,"&lt;="&amp;E404))</f>
        <v/>
      </c>
      <c r="T404" s="5">
        <f>IF(A404="","",IF(R404="","initial",IF(ABS(R404)&lt;=ShiftThresholdDays,"unchanged",IF(R404&gt;0,"delayed","accelerated"))))</f>
        <v/>
      </c>
    </row>
    <row r="405">
      <c r="A405" s="2" t="n"/>
      <c r="B405" s="2" t="n"/>
      <c r="C405" s="2" t="n"/>
      <c r="D405" s="2" t="n"/>
      <c r="E405" s="2" t="n"/>
      <c r="F405" s="2" t="n"/>
      <c r="G405" s="3" t="n"/>
      <c r="H405" s="2" t="n"/>
      <c r="I405" s="3" t="n"/>
      <c r="J405" s="2" t="n"/>
      <c r="K405" s="2" t="n"/>
      <c r="L405" s="2" t="n"/>
      <c r="M405" s="2" t="n"/>
      <c r="N405" s="2" t="n"/>
      <c r="O405" s="2" t="n"/>
      <c r="P405" s="2" t="n"/>
      <c r="Q405" s="4">
        <f>IF(OR(A405="",E405=""),"",IF(MAXIFS($E$2:$E$1001,$A$2:$A$1001,A405,$E$2:$E$1001,"&lt;"&amp;E405)=0,"",SUMIFS($G$2:$G$1001,$A$2:$A$1001,A405,$E$2:$E$1001,MAXIFS($E$2:$E$1001,$A$2:$A$1001,A405,$E$2:$E$1001,"&lt;"&amp;E405))))</f>
        <v/>
      </c>
      <c r="R405" s="9">
        <f>IF(OR(Q405="",G405=""),"",G405-Q405)</f>
        <v/>
      </c>
      <c r="S405" s="9">
        <f>IF(R405="","",SUMIFS($R$2:$R$1001,$A$2:$A$1001,A405,$E$2:$E$1001,"&lt;="&amp;E405))</f>
        <v/>
      </c>
      <c r="T405" s="5">
        <f>IF(A405="","",IF(R405="","initial",IF(ABS(R405)&lt;=ShiftThresholdDays,"unchanged",IF(R405&gt;0,"delayed","accelerated"))))</f>
        <v/>
      </c>
    </row>
    <row r="406">
      <c r="A406" s="2" t="n"/>
      <c r="B406" s="2" t="n"/>
      <c r="C406" s="2" t="n"/>
      <c r="D406" s="2" t="n"/>
      <c r="E406" s="2" t="n"/>
      <c r="F406" s="2" t="n"/>
      <c r="G406" s="3" t="n"/>
      <c r="H406" s="2" t="n"/>
      <c r="I406" s="3" t="n"/>
      <c r="J406" s="2" t="n"/>
      <c r="K406" s="2" t="n"/>
      <c r="L406" s="2" t="n"/>
      <c r="M406" s="2" t="n"/>
      <c r="N406" s="2" t="n"/>
      <c r="O406" s="2" t="n"/>
      <c r="P406" s="2" t="n"/>
      <c r="Q406" s="4">
        <f>IF(OR(A406="",E406=""),"",IF(MAXIFS($E$2:$E$1001,$A$2:$A$1001,A406,$E$2:$E$1001,"&lt;"&amp;E406)=0,"",SUMIFS($G$2:$G$1001,$A$2:$A$1001,A406,$E$2:$E$1001,MAXIFS($E$2:$E$1001,$A$2:$A$1001,A406,$E$2:$E$1001,"&lt;"&amp;E406))))</f>
        <v/>
      </c>
      <c r="R406" s="9">
        <f>IF(OR(Q406="",G406=""),"",G406-Q406)</f>
        <v/>
      </c>
      <c r="S406" s="9">
        <f>IF(R406="","",SUMIFS($R$2:$R$1001,$A$2:$A$1001,A406,$E$2:$E$1001,"&lt;="&amp;E406))</f>
        <v/>
      </c>
      <c r="T406" s="5">
        <f>IF(A406="","",IF(R406="","initial",IF(ABS(R406)&lt;=ShiftThresholdDays,"unchanged",IF(R406&gt;0,"delayed","accelerated"))))</f>
        <v/>
      </c>
    </row>
    <row r="407">
      <c r="A407" s="2" t="n"/>
      <c r="B407" s="2" t="n"/>
      <c r="C407" s="2" t="n"/>
      <c r="D407" s="2" t="n"/>
      <c r="E407" s="2" t="n"/>
      <c r="F407" s="2" t="n"/>
      <c r="G407" s="3" t="n"/>
      <c r="H407" s="2" t="n"/>
      <c r="I407" s="3" t="n"/>
      <c r="J407" s="2" t="n"/>
      <c r="K407" s="2" t="n"/>
      <c r="L407" s="2" t="n"/>
      <c r="M407" s="2" t="n"/>
      <c r="N407" s="2" t="n"/>
      <c r="O407" s="2" t="n"/>
      <c r="P407" s="2" t="n"/>
      <c r="Q407" s="4">
        <f>IF(OR(A407="",E407=""),"",IF(MAXIFS($E$2:$E$1001,$A$2:$A$1001,A407,$E$2:$E$1001,"&lt;"&amp;E407)=0,"",SUMIFS($G$2:$G$1001,$A$2:$A$1001,A407,$E$2:$E$1001,MAXIFS($E$2:$E$1001,$A$2:$A$1001,A407,$E$2:$E$1001,"&lt;"&amp;E407))))</f>
        <v/>
      </c>
      <c r="R407" s="9">
        <f>IF(OR(Q407="",G407=""),"",G407-Q407)</f>
        <v/>
      </c>
      <c r="S407" s="9">
        <f>IF(R407="","",SUMIFS($R$2:$R$1001,$A$2:$A$1001,A407,$E$2:$E$1001,"&lt;="&amp;E407))</f>
        <v/>
      </c>
      <c r="T407" s="5">
        <f>IF(A407="","",IF(R407="","initial",IF(ABS(R407)&lt;=ShiftThresholdDays,"unchanged",IF(R407&gt;0,"delayed","accelerated"))))</f>
        <v/>
      </c>
    </row>
    <row r="408">
      <c r="A408" s="2" t="n"/>
      <c r="B408" s="2" t="n"/>
      <c r="C408" s="2" t="n"/>
      <c r="D408" s="2" t="n"/>
      <c r="E408" s="2" t="n"/>
      <c r="F408" s="2" t="n"/>
      <c r="G408" s="3" t="n"/>
      <c r="H408" s="2" t="n"/>
      <c r="I408" s="3" t="n"/>
      <c r="J408" s="2" t="n"/>
      <c r="K408" s="2" t="n"/>
      <c r="L408" s="2" t="n"/>
      <c r="M408" s="2" t="n"/>
      <c r="N408" s="2" t="n"/>
      <c r="O408" s="2" t="n"/>
      <c r="P408" s="2" t="n"/>
      <c r="Q408" s="4">
        <f>IF(OR(A408="",E408=""),"",IF(MAXIFS($E$2:$E$1001,$A$2:$A$1001,A408,$E$2:$E$1001,"&lt;"&amp;E408)=0,"",SUMIFS($G$2:$G$1001,$A$2:$A$1001,A408,$E$2:$E$1001,MAXIFS($E$2:$E$1001,$A$2:$A$1001,A408,$E$2:$E$1001,"&lt;"&amp;E408))))</f>
        <v/>
      </c>
      <c r="R408" s="9">
        <f>IF(OR(Q408="",G408=""),"",G408-Q408)</f>
        <v/>
      </c>
      <c r="S408" s="9">
        <f>IF(R408="","",SUMIFS($R$2:$R$1001,$A$2:$A$1001,A408,$E$2:$E$1001,"&lt;="&amp;E408))</f>
        <v/>
      </c>
      <c r="T408" s="5">
        <f>IF(A408="","",IF(R408="","initial",IF(ABS(R408)&lt;=ShiftThresholdDays,"unchanged",IF(R408&gt;0,"delayed","accelerated"))))</f>
        <v/>
      </c>
    </row>
    <row r="409">
      <c r="A409" s="2" t="n"/>
      <c r="B409" s="2" t="n"/>
      <c r="C409" s="2" t="n"/>
      <c r="D409" s="2" t="n"/>
      <c r="E409" s="2" t="n"/>
      <c r="F409" s="2" t="n"/>
      <c r="G409" s="3" t="n"/>
      <c r="H409" s="2" t="n"/>
      <c r="I409" s="3" t="n"/>
      <c r="J409" s="2" t="n"/>
      <c r="K409" s="2" t="n"/>
      <c r="L409" s="2" t="n"/>
      <c r="M409" s="2" t="n"/>
      <c r="N409" s="2" t="n"/>
      <c r="O409" s="2" t="n"/>
      <c r="P409" s="2" t="n"/>
      <c r="Q409" s="4">
        <f>IF(OR(A409="",E409=""),"",IF(MAXIFS($E$2:$E$1001,$A$2:$A$1001,A409,$E$2:$E$1001,"&lt;"&amp;E409)=0,"",SUMIFS($G$2:$G$1001,$A$2:$A$1001,A409,$E$2:$E$1001,MAXIFS($E$2:$E$1001,$A$2:$A$1001,A409,$E$2:$E$1001,"&lt;"&amp;E409))))</f>
        <v/>
      </c>
      <c r="R409" s="9">
        <f>IF(OR(Q409="",G409=""),"",G409-Q409)</f>
        <v/>
      </c>
      <c r="S409" s="9">
        <f>IF(R409="","",SUMIFS($R$2:$R$1001,$A$2:$A$1001,A409,$E$2:$E$1001,"&lt;="&amp;E409))</f>
        <v/>
      </c>
      <c r="T409" s="5">
        <f>IF(A409="","",IF(R409="","initial",IF(ABS(R409)&lt;=ShiftThresholdDays,"unchanged",IF(R409&gt;0,"delayed","accelerated"))))</f>
        <v/>
      </c>
    </row>
    <row r="410">
      <c r="A410" s="2" t="n"/>
      <c r="B410" s="2" t="n"/>
      <c r="C410" s="2" t="n"/>
      <c r="D410" s="2" t="n"/>
      <c r="E410" s="2" t="n"/>
      <c r="F410" s="2" t="n"/>
      <c r="G410" s="3" t="n"/>
      <c r="H410" s="2" t="n"/>
      <c r="I410" s="3" t="n"/>
      <c r="J410" s="2" t="n"/>
      <c r="K410" s="2" t="n"/>
      <c r="L410" s="2" t="n"/>
      <c r="M410" s="2" t="n"/>
      <c r="N410" s="2" t="n"/>
      <c r="O410" s="2" t="n"/>
      <c r="P410" s="2" t="n"/>
      <c r="Q410" s="4">
        <f>IF(OR(A410="",E410=""),"",IF(MAXIFS($E$2:$E$1001,$A$2:$A$1001,A410,$E$2:$E$1001,"&lt;"&amp;E410)=0,"",SUMIFS($G$2:$G$1001,$A$2:$A$1001,A410,$E$2:$E$1001,MAXIFS($E$2:$E$1001,$A$2:$A$1001,A410,$E$2:$E$1001,"&lt;"&amp;E410))))</f>
        <v/>
      </c>
      <c r="R410" s="9">
        <f>IF(OR(Q410="",G410=""),"",G410-Q410)</f>
        <v/>
      </c>
      <c r="S410" s="9">
        <f>IF(R410="","",SUMIFS($R$2:$R$1001,$A$2:$A$1001,A410,$E$2:$E$1001,"&lt;="&amp;E410))</f>
        <v/>
      </c>
      <c r="T410" s="5">
        <f>IF(A410="","",IF(R410="","initial",IF(ABS(R410)&lt;=ShiftThresholdDays,"unchanged",IF(R410&gt;0,"delayed","accelerated"))))</f>
        <v/>
      </c>
    </row>
    <row r="411">
      <c r="A411" s="2" t="n"/>
      <c r="B411" s="2" t="n"/>
      <c r="C411" s="2" t="n"/>
      <c r="D411" s="2" t="n"/>
      <c r="E411" s="2" t="n"/>
      <c r="F411" s="2" t="n"/>
      <c r="G411" s="3" t="n"/>
      <c r="H411" s="2" t="n"/>
      <c r="I411" s="3" t="n"/>
      <c r="J411" s="2" t="n"/>
      <c r="K411" s="2" t="n"/>
      <c r="L411" s="2" t="n"/>
      <c r="M411" s="2" t="n"/>
      <c r="N411" s="2" t="n"/>
      <c r="O411" s="2" t="n"/>
      <c r="P411" s="2" t="n"/>
      <c r="Q411" s="4">
        <f>IF(OR(A411="",E411=""),"",IF(MAXIFS($E$2:$E$1001,$A$2:$A$1001,A411,$E$2:$E$1001,"&lt;"&amp;E411)=0,"",SUMIFS($G$2:$G$1001,$A$2:$A$1001,A411,$E$2:$E$1001,MAXIFS($E$2:$E$1001,$A$2:$A$1001,A411,$E$2:$E$1001,"&lt;"&amp;E411))))</f>
        <v/>
      </c>
      <c r="R411" s="9">
        <f>IF(OR(Q411="",G411=""),"",G411-Q411)</f>
        <v/>
      </c>
      <c r="S411" s="9">
        <f>IF(R411="","",SUMIFS($R$2:$R$1001,$A$2:$A$1001,A411,$E$2:$E$1001,"&lt;="&amp;E411))</f>
        <v/>
      </c>
      <c r="T411" s="5">
        <f>IF(A411="","",IF(R411="","initial",IF(ABS(R411)&lt;=ShiftThresholdDays,"unchanged",IF(R411&gt;0,"delayed","accelerated"))))</f>
        <v/>
      </c>
    </row>
    <row r="412">
      <c r="A412" s="2" t="n"/>
      <c r="B412" s="2" t="n"/>
      <c r="C412" s="2" t="n"/>
      <c r="D412" s="2" t="n"/>
      <c r="E412" s="2" t="n"/>
      <c r="F412" s="2" t="n"/>
      <c r="G412" s="3" t="n"/>
      <c r="H412" s="2" t="n"/>
      <c r="I412" s="3" t="n"/>
      <c r="J412" s="2" t="n"/>
      <c r="K412" s="2" t="n"/>
      <c r="L412" s="2" t="n"/>
      <c r="M412" s="2" t="n"/>
      <c r="N412" s="2" t="n"/>
      <c r="O412" s="2" t="n"/>
      <c r="P412" s="2" t="n"/>
      <c r="Q412" s="4">
        <f>IF(OR(A412="",E412=""),"",IF(MAXIFS($E$2:$E$1001,$A$2:$A$1001,A412,$E$2:$E$1001,"&lt;"&amp;E412)=0,"",SUMIFS($G$2:$G$1001,$A$2:$A$1001,A412,$E$2:$E$1001,MAXIFS($E$2:$E$1001,$A$2:$A$1001,A412,$E$2:$E$1001,"&lt;"&amp;E412))))</f>
        <v/>
      </c>
      <c r="R412" s="9">
        <f>IF(OR(Q412="",G412=""),"",G412-Q412)</f>
        <v/>
      </c>
      <c r="S412" s="9">
        <f>IF(R412="","",SUMIFS($R$2:$R$1001,$A$2:$A$1001,A412,$E$2:$E$1001,"&lt;="&amp;E412))</f>
        <v/>
      </c>
      <c r="T412" s="5">
        <f>IF(A412="","",IF(R412="","initial",IF(ABS(R412)&lt;=ShiftThresholdDays,"unchanged",IF(R412&gt;0,"delayed","accelerated"))))</f>
        <v/>
      </c>
    </row>
    <row r="413">
      <c r="A413" s="2" t="n"/>
      <c r="B413" s="2" t="n"/>
      <c r="C413" s="2" t="n"/>
      <c r="D413" s="2" t="n"/>
      <c r="E413" s="2" t="n"/>
      <c r="F413" s="2" t="n"/>
      <c r="G413" s="3" t="n"/>
      <c r="H413" s="2" t="n"/>
      <c r="I413" s="3" t="n"/>
      <c r="J413" s="2" t="n"/>
      <c r="K413" s="2" t="n"/>
      <c r="L413" s="2" t="n"/>
      <c r="M413" s="2" t="n"/>
      <c r="N413" s="2" t="n"/>
      <c r="O413" s="2" t="n"/>
      <c r="P413" s="2" t="n"/>
      <c r="Q413" s="4">
        <f>IF(OR(A413="",E413=""),"",IF(MAXIFS($E$2:$E$1001,$A$2:$A$1001,A413,$E$2:$E$1001,"&lt;"&amp;E413)=0,"",SUMIFS($G$2:$G$1001,$A$2:$A$1001,A413,$E$2:$E$1001,MAXIFS($E$2:$E$1001,$A$2:$A$1001,A413,$E$2:$E$1001,"&lt;"&amp;E413))))</f>
        <v/>
      </c>
      <c r="R413" s="9">
        <f>IF(OR(Q413="",G413=""),"",G413-Q413)</f>
        <v/>
      </c>
      <c r="S413" s="9">
        <f>IF(R413="","",SUMIFS($R$2:$R$1001,$A$2:$A$1001,A413,$E$2:$E$1001,"&lt;="&amp;E413))</f>
        <v/>
      </c>
      <c r="T413" s="5">
        <f>IF(A413="","",IF(R413="","initial",IF(ABS(R413)&lt;=ShiftThresholdDays,"unchanged",IF(R413&gt;0,"delayed","accelerated"))))</f>
        <v/>
      </c>
    </row>
    <row r="414">
      <c r="A414" s="2" t="n"/>
      <c r="B414" s="2" t="n"/>
      <c r="C414" s="2" t="n"/>
      <c r="D414" s="2" t="n"/>
      <c r="E414" s="2" t="n"/>
      <c r="F414" s="2" t="n"/>
      <c r="G414" s="3" t="n"/>
      <c r="H414" s="2" t="n"/>
      <c r="I414" s="3" t="n"/>
      <c r="J414" s="2" t="n"/>
      <c r="K414" s="2" t="n"/>
      <c r="L414" s="2" t="n"/>
      <c r="M414" s="2" t="n"/>
      <c r="N414" s="2" t="n"/>
      <c r="O414" s="2" t="n"/>
      <c r="P414" s="2" t="n"/>
      <c r="Q414" s="4">
        <f>IF(OR(A414="",E414=""),"",IF(MAXIFS($E$2:$E$1001,$A$2:$A$1001,A414,$E$2:$E$1001,"&lt;"&amp;E414)=0,"",SUMIFS($G$2:$G$1001,$A$2:$A$1001,A414,$E$2:$E$1001,MAXIFS($E$2:$E$1001,$A$2:$A$1001,A414,$E$2:$E$1001,"&lt;"&amp;E414))))</f>
        <v/>
      </c>
      <c r="R414" s="9">
        <f>IF(OR(Q414="",G414=""),"",G414-Q414)</f>
        <v/>
      </c>
      <c r="S414" s="9">
        <f>IF(R414="","",SUMIFS($R$2:$R$1001,$A$2:$A$1001,A414,$E$2:$E$1001,"&lt;="&amp;E414))</f>
        <v/>
      </c>
      <c r="T414" s="5">
        <f>IF(A414="","",IF(R414="","initial",IF(ABS(R414)&lt;=ShiftThresholdDays,"unchanged",IF(R414&gt;0,"delayed","accelerated"))))</f>
        <v/>
      </c>
    </row>
    <row r="415">
      <c r="A415" s="2" t="n"/>
      <c r="B415" s="2" t="n"/>
      <c r="C415" s="2" t="n"/>
      <c r="D415" s="2" t="n"/>
      <c r="E415" s="2" t="n"/>
      <c r="F415" s="2" t="n"/>
      <c r="G415" s="3" t="n"/>
      <c r="H415" s="2" t="n"/>
      <c r="I415" s="3" t="n"/>
      <c r="J415" s="2" t="n"/>
      <c r="K415" s="2" t="n"/>
      <c r="L415" s="2" t="n"/>
      <c r="M415" s="2" t="n"/>
      <c r="N415" s="2" t="n"/>
      <c r="O415" s="2" t="n"/>
      <c r="P415" s="2" t="n"/>
      <c r="Q415" s="4">
        <f>IF(OR(A415="",E415=""),"",IF(MAXIFS($E$2:$E$1001,$A$2:$A$1001,A415,$E$2:$E$1001,"&lt;"&amp;E415)=0,"",SUMIFS($G$2:$G$1001,$A$2:$A$1001,A415,$E$2:$E$1001,MAXIFS($E$2:$E$1001,$A$2:$A$1001,A415,$E$2:$E$1001,"&lt;"&amp;E415))))</f>
        <v/>
      </c>
      <c r="R415" s="9">
        <f>IF(OR(Q415="",G415=""),"",G415-Q415)</f>
        <v/>
      </c>
      <c r="S415" s="9">
        <f>IF(R415="","",SUMIFS($R$2:$R$1001,$A$2:$A$1001,A415,$E$2:$E$1001,"&lt;="&amp;E415))</f>
        <v/>
      </c>
      <c r="T415" s="5">
        <f>IF(A415="","",IF(R415="","initial",IF(ABS(R415)&lt;=ShiftThresholdDays,"unchanged",IF(R415&gt;0,"delayed","accelerated"))))</f>
        <v/>
      </c>
    </row>
    <row r="416">
      <c r="A416" s="2" t="n"/>
      <c r="B416" s="2" t="n"/>
      <c r="C416" s="2" t="n"/>
      <c r="D416" s="2" t="n"/>
      <c r="E416" s="2" t="n"/>
      <c r="F416" s="2" t="n"/>
      <c r="G416" s="3" t="n"/>
      <c r="H416" s="2" t="n"/>
      <c r="I416" s="3" t="n"/>
      <c r="J416" s="2" t="n"/>
      <c r="K416" s="2" t="n"/>
      <c r="L416" s="2" t="n"/>
      <c r="M416" s="2" t="n"/>
      <c r="N416" s="2" t="n"/>
      <c r="O416" s="2" t="n"/>
      <c r="P416" s="2" t="n"/>
      <c r="Q416" s="4">
        <f>IF(OR(A416="",E416=""),"",IF(MAXIFS($E$2:$E$1001,$A$2:$A$1001,A416,$E$2:$E$1001,"&lt;"&amp;E416)=0,"",SUMIFS($G$2:$G$1001,$A$2:$A$1001,A416,$E$2:$E$1001,MAXIFS($E$2:$E$1001,$A$2:$A$1001,A416,$E$2:$E$1001,"&lt;"&amp;E416))))</f>
        <v/>
      </c>
      <c r="R416" s="9">
        <f>IF(OR(Q416="",G416=""),"",G416-Q416)</f>
        <v/>
      </c>
      <c r="S416" s="9">
        <f>IF(R416="","",SUMIFS($R$2:$R$1001,$A$2:$A$1001,A416,$E$2:$E$1001,"&lt;="&amp;E416))</f>
        <v/>
      </c>
      <c r="T416" s="5">
        <f>IF(A416="","",IF(R416="","initial",IF(ABS(R416)&lt;=ShiftThresholdDays,"unchanged",IF(R416&gt;0,"delayed","accelerated"))))</f>
        <v/>
      </c>
    </row>
    <row r="417">
      <c r="A417" s="2" t="n"/>
      <c r="B417" s="2" t="n"/>
      <c r="C417" s="2" t="n"/>
      <c r="D417" s="2" t="n"/>
      <c r="E417" s="2" t="n"/>
      <c r="F417" s="2" t="n"/>
      <c r="G417" s="3" t="n"/>
      <c r="H417" s="2" t="n"/>
      <c r="I417" s="3" t="n"/>
      <c r="J417" s="2" t="n"/>
      <c r="K417" s="2" t="n"/>
      <c r="L417" s="2" t="n"/>
      <c r="M417" s="2" t="n"/>
      <c r="N417" s="2" t="n"/>
      <c r="O417" s="2" t="n"/>
      <c r="P417" s="2" t="n"/>
      <c r="Q417" s="4">
        <f>IF(OR(A417="",E417=""),"",IF(MAXIFS($E$2:$E$1001,$A$2:$A$1001,A417,$E$2:$E$1001,"&lt;"&amp;E417)=0,"",SUMIFS($G$2:$G$1001,$A$2:$A$1001,A417,$E$2:$E$1001,MAXIFS($E$2:$E$1001,$A$2:$A$1001,A417,$E$2:$E$1001,"&lt;"&amp;E417))))</f>
        <v/>
      </c>
      <c r="R417" s="9">
        <f>IF(OR(Q417="",G417=""),"",G417-Q417)</f>
        <v/>
      </c>
      <c r="S417" s="9">
        <f>IF(R417="","",SUMIFS($R$2:$R$1001,$A$2:$A$1001,A417,$E$2:$E$1001,"&lt;="&amp;E417))</f>
        <v/>
      </c>
      <c r="T417" s="5">
        <f>IF(A417="","",IF(R417="","initial",IF(ABS(R417)&lt;=ShiftThresholdDays,"unchanged",IF(R417&gt;0,"delayed","accelerated"))))</f>
        <v/>
      </c>
    </row>
    <row r="418">
      <c r="A418" s="2" t="n"/>
      <c r="B418" s="2" t="n"/>
      <c r="C418" s="2" t="n"/>
      <c r="D418" s="2" t="n"/>
      <c r="E418" s="2" t="n"/>
      <c r="F418" s="2" t="n"/>
      <c r="G418" s="3" t="n"/>
      <c r="H418" s="2" t="n"/>
      <c r="I418" s="3" t="n"/>
      <c r="J418" s="2" t="n"/>
      <c r="K418" s="2" t="n"/>
      <c r="L418" s="2" t="n"/>
      <c r="M418" s="2" t="n"/>
      <c r="N418" s="2" t="n"/>
      <c r="O418" s="2" t="n"/>
      <c r="P418" s="2" t="n"/>
      <c r="Q418" s="4">
        <f>IF(OR(A418="",E418=""),"",IF(MAXIFS($E$2:$E$1001,$A$2:$A$1001,A418,$E$2:$E$1001,"&lt;"&amp;E418)=0,"",SUMIFS($G$2:$G$1001,$A$2:$A$1001,A418,$E$2:$E$1001,MAXIFS($E$2:$E$1001,$A$2:$A$1001,A418,$E$2:$E$1001,"&lt;"&amp;E418))))</f>
        <v/>
      </c>
      <c r="R418" s="9">
        <f>IF(OR(Q418="",G418=""),"",G418-Q418)</f>
        <v/>
      </c>
      <c r="S418" s="9">
        <f>IF(R418="","",SUMIFS($R$2:$R$1001,$A$2:$A$1001,A418,$E$2:$E$1001,"&lt;="&amp;E418))</f>
        <v/>
      </c>
      <c r="T418" s="5">
        <f>IF(A418="","",IF(R418="","initial",IF(ABS(R418)&lt;=ShiftThresholdDays,"unchanged",IF(R418&gt;0,"delayed","accelerated"))))</f>
        <v/>
      </c>
    </row>
    <row r="419">
      <c r="A419" s="2" t="n"/>
      <c r="B419" s="2" t="n"/>
      <c r="C419" s="2" t="n"/>
      <c r="D419" s="2" t="n"/>
      <c r="E419" s="2" t="n"/>
      <c r="F419" s="2" t="n"/>
      <c r="G419" s="3" t="n"/>
      <c r="H419" s="2" t="n"/>
      <c r="I419" s="3" t="n"/>
      <c r="J419" s="2" t="n"/>
      <c r="K419" s="2" t="n"/>
      <c r="L419" s="2" t="n"/>
      <c r="M419" s="2" t="n"/>
      <c r="N419" s="2" t="n"/>
      <c r="O419" s="2" t="n"/>
      <c r="P419" s="2" t="n"/>
      <c r="Q419" s="4">
        <f>IF(OR(A419="",E419=""),"",IF(MAXIFS($E$2:$E$1001,$A$2:$A$1001,A419,$E$2:$E$1001,"&lt;"&amp;E419)=0,"",SUMIFS($G$2:$G$1001,$A$2:$A$1001,A419,$E$2:$E$1001,MAXIFS($E$2:$E$1001,$A$2:$A$1001,A419,$E$2:$E$1001,"&lt;"&amp;E419))))</f>
        <v/>
      </c>
      <c r="R419" s="9">
        <f>IF(OR(Q419="",G419=""),"",G419-Q419)</f>
        <v/>
      </c>
      <c r="S419" s="9">
        <f>IF(R419="","",SUMIFS($R$2:$R$1001,$A$2:$A$1001,A419,$E$2:$E$1001,"&lt;="&amp;E419))</f>
        <v/>
      </c>
      <c r="T419" s="5">
        <f>IF(A419="","",IF(R419="","initial",IF(ABS(R419)&lt;=ShiftThresholdDays,"unchanged",IF(R419&gt;0,"delayed","accelerated"))))</f>
        <v/>
      </c>
    </row>
    <row r="420">
      <c r="A420" s="2" t="n"/>
      <c r="B420" s="2" t="n"/>
      <c r="C420" s="2" t="n"/>
      <c r="D420" s="2" t="n"/>
      <c r="E420" s="2" t="n"/>
      <c r="F420" s="2" t="n"/>
      <c r="G420" s="3" t="n"/>
      <c r="H420" s="2" t="n"/>
      <c r="I420" s="3" t="n"/>
      <c r="J420" s="2" t="n"/>
      <c r="K420" s="2" t="n"/>
      <c r="L420" s="2" t="n"/>
      <c r="M420" s="2" t="n"/>
      <c r="N420" s="2" t="n"/>
      <c r="O420" s="2" t="n"/>
      <c r="P420" s="2" t="n"/>
      <c r="Q420" s="4">
        <f>IF(OR(A420="",E420=""),"",IF(MAXIFS($E$2:$E$1001,$A$2:$A$1001,A420,$E$2:$E$1001,"&lt;"&amp;E420)=0,"",SUMIFS($G$2:$G$1001,$A$2:$A$1001,A420,$E$2:$E$1001,MAXIFS($E$2:$E$1001,$A$2:$A$1001,A420,$E$2:$E$1001,"&lt;"&amp;E420))))</f>
        <v/>
      </c>
      <c r="R420" s="9">
        <f>IF(OR(Q420="",G420=""),"",G420-Q420)</f>
        <v/>
      </c>
      <c r="S420" s="9">
        <f>IF(R420="","",SUMIFS($R$2:$R$1001,$A$2:$A$1001,A420,$E$2:$E$1001,"&lt;="&amp;E420))</f>
        <v/>
      </c>
      <c r="T420" s="5">
        <f>IF(A420="","",IF(R420="","initial",IF(ABS(R420)&lt;=ShiftThresholdDays,"unchanged",IF(R420&gt;0,"delayed","accelerated"))))</f>
        <v/>
      </c>
    </row>
    <row r="421">
      <c r="A421" s="2" t="n"/>
      <c r="B421" s="2" t="n"/>
      <c r="C421" s="2" t="n"/>
      <c r="D421" s="2" t="n"/>
      <c r="E421" s="2" t="n"/>
      <c r="F421" s="2" t="n"/>
      <c r="G421" s="3" t="n"/>
      <c r="H421" s="2" t="n"/>
      <c r="I421" s="3" t="n"/>
      <c r="J421" s="2" t="n"/>
      <c r="K421" s="2" t="n"/>
      <c r="L421" s="2" t="n"/>
      <c r="M421" s="2" t="n"/>
      <c r="N421" s="2" t="n"/>
      <c r="O421" s="2" t="n"/>
      <c r="P421" s="2" t="n"/>
      <c r="Q421" s="4">
        <f>IF(OR(A421="",E421=""),"",IF(MAXIFS($E$2:$E$1001,$A$2:$A$1001,A421,$E$2:$E$1001,"&lt;"&amp;E421)=0,"",SUMIFS($G$2:$G$1001,$A$2:$A$1001,A421,$E$2:$E$1001,MAXIFS($E$2:$E$1001,$A$2:$A$1001,A421,$E$2:$E$1001,"&lt;"&amp;E421))))</f>
        <v/>
      </c>
      <c r="R421" s="9">
        <f>IF(OR(Q421="",G421=""),"",G421-Q421)</f>
        <v/>
      </c>
      <c r="S421" s="9">
        <f>IF(R421="","",SUMIFS($R$2:$R$1001,$A$2:$A$1001,A421,$E$2:$E$1001,"&lt;="&amp;E421))</f>
        <v/>
      </c>
      <c r="T421" s="5">
        <f>IF(A421="","",IF(R421="","initial",IF(ABS(R421)&lt;=ShiftThresholdDays,"unchanged",IF(R421&gt;0,"delayed","accelerated"))))</f>
        <v/>
      </c>
    </row>
    <row r="422">
      <c r="A422" s="2" t="n"/>
      <c r="B422" s="2" t="n"/>
      <c r="C422" s="2" t="n"/>
      <c r="D422" s="2" t="n"/>
      <c r="E422" s="2" t="n"/>
      <c r="F422" s="2" t="n"/>
      <c r="G422" s="3" t="n"/>
      <c r="H422" s="2" t="n"/>
      <c r="I422" s="3" t="n"/>
      <c r="J422" s="2" t="n"/>
      <c r="K422" s="2" t="n"/>
      <c r="L422" s="2" t="n"/>
      <c r="M422" s="2" t="n"/>
      <c r="N422" s="2" t="n"/>
      <c r="O422" s="2" t="n"/>
      <c r="P422" s="2" t="n"/>
      <c r="Q422" s="4">
        <f>IF(OR(A422="",E422=""),"",IF(MAXIFS($E$2:$E$1001,$A$2:$A$1001,A422,$E$2:$E$1001,"&lt;"&amp;E422)=0,"",SUMIFS($G$2:$G$1001,$A$2:$A$1001,A422,$E$2:$E$1001,MAXIFS($E$2:$E$1001,$A$2:$A$1001,A422,$E$2:$E$1001,"&lt;"&amp;E422))))</f>
        <v/>
      </c>
      <c r="R422" s="9">
        <f>IF(OR(Q422="",G422=""),"",G422-Q422)</f>
        <v/>
      </c>
      <c r="S422" s="9">
        <f>IF(R422="","",SUMIFS($R$2:$R$1001,$A$2:$A$1001,A422,$E$2:$E$1001,"&lt;="&amp;E422))</f>
        <v/>
      </c>
      <c r="T422" s="5">
        <f>IF(A422="","",IF(R422="","initial",IF(ABS(R422)&lt;=ShiftThresholdDays,"unchanged",IF(R422&gt;0,"delayed","accelerated"))))</f>
        <v/>
      </c>
    </row>
    <row r="423">
      <c r="A423" s="2" t="n"/>
      <c r="B423" s="2" t="n"/>
      <c r="C423" s="2" t="n"/>
      <c r="D423" s="2" t="n"/>
      <c r="E423" s="2" t="n"/>
      <c r="F423" s="2" t="n"/>
      <c r="G423" s="3" t="n"/>
      <c r="H423" s="2" t="n"/>
      <c r="I423" s="3" t="n"/>
      <c r="J423" s="2" t="n"/>
      <c r="K423" s="2" t="n"/>
      <c r="L423" s="2" t="n"/>
      <c r="M423" s="2" t="n"/>
      <c r="N423" s="2" t="n"/>
      <c r="O423" s="2" t="n"/>
      <c r="P423" s="2" t="n"/>
      <c r="Q423" s="4">
        <f>IF(OR(A423="",E423=""),"",IF(MAXIFS($E$2:$E$1001,$A$2:$A$1001,A423,$E$2:$E$1001,"&lt;"&amp;E423)=0,"",SUMIFS($G$2:$G$1001,$A$2:$A$1001,A423,$E$2:$E$1001,MAXIFS($E$2:$E$1001,$A$2:$A$1001,A423,$E$2:$E$1001,"&lt;"&amp;E423))))</f>
        <v/>
      </c>
      <c r="R423" s="9">
        <f>IF(OR(Q423="",G423=""),"",G423-Q423)</f>
        <v/>
      </c>
      <c r="S423" s="9">
        <f>IF(R423="","",SUMIFS($R$2:$R$1001,$A$2:$A$1001,A423,$E$2:$E$1001,"&lt;="&amp;E423))</f>
        <v/>
      </c>
      <c r="T423" s="5">
        <f>IF(A423="","",IF(R423="","initial",IF(ABS(R423)&lt;=ShiftThresholdDays,"unchanged",IF(R423&gt;0,"delayed","accelerated"))))</f>
        <v/>
      </c>
    </row>
    <row r="424">
      <c r="A424" s="2" t="n"/>
      <c r="B424" s="2" t="n"/>
      <c r="C424" s="2" t="n"/>
      <c r="D424" s="2" t="n"/>
      <c r="E424" s="2" t="n"/>
      <c r="F424" s="2" t="n"/>
      <c r="G424" s="3" t="n"/>
      <c r="H424" s="2" t="n"/>
      <c r="I424" s="3" t="n"/>
      <c r="J424" s="2" t="n"/>
      <c r="K424" s="2" t="n"/>
      <c r="L424" s="2" t="n"/>
      <c r="M424" s="2" t="n"/>
      <c r="N424" s="2" t="n"/>
      <c r="O424" s="2" t="n"/>
      <c r="P424" s="2" t="n"/>
      <c r="Q424" s="4">
        <f>IF(OR(A424="",E424=""),"",IF(MAXIFS($E$2:$E$1001,$A$2:$A$1001,A424,$E$2:$E$1001,"&lt;"&amp;E424)=0,"",SUMIFS($G$2:$G$1001,$A$2:$A$1001,A424,$E$2:$E$1001,MAXIFS($E$2:$E$1001,$A$2:$A$1001,A424,$E$2:$E$1001,"&lt;"&amp;E424))))</f>
        <v/>
      </c>
      <c r="R424" s="9">
        <f>IF(OR(Q424="",G424=""),"",G424-Q424)</f>
        <v/>
      </c>
      <c r="S424" s="9">
        <f>IF(R424="","",SUMIFS($R$2:$R$1001,$A$2:$A$1001,A424,$E$2:$E$1001,"&lt;="&amp;E424))</f>
        <v/>
      </c>
      <c r="T424" s="5">
        <f>IF(A424="","",IF(R424="","initial",IF(ABS(R424)&lt;=ShiftThresholdDays,"unchanged",IF(R424&gt;0,"delayed","accelerated"))))</f>
        <v/>
      </c>
    </row>
    <row r="425">
      <c r="A425" s="2" t="n"/>
      <c r="B425" s="2" t="n"/>
      <c r="C425" s="2" t="n"/>
      <c r="D425" s="2" t="n"/>
      <c r="E425" s="2" t="n"/>
      <c r="F425" s="2" t="n"/>
      <c r="G425" s="3" t="n"/>
      <c r="H425" s="2" t="n"/>
      <c r="I425" s="3" t="n"/>
      <c r="J425" s="2" t="n"/>
      <c r="K425" s="2" t="n"/>
      <c r="L425" s="2" t="n"/>
      <c r="M425" s="2" t="n"/>
      <c r="N425" s="2" t="n"/>
      <c r="O425" s="2" t="n"/>
      <c r="P425" s="2" t="n"/>
      <c r="Q425" s="4">
        <f>IF(OR(A425="",E425=""),"",IF(MAXIFS($E$2:$E$1001,$A$2:$A$1001,A425,$E$2:$E$1001,"&lt;"&amp;E425)=0,"",SUMIFS($G$2:$G$1001,$A$2:$A$1001,A425,$E$2:$E$1001,MAXIFS($E$2:$E$1001,$A$2:$A$1001,A425,$E$2:$E$1001,"&lt;"&amp;E425))))</f>
        <v/>
      </c>
      <c r="R425" s="9">
        <f>IF(OR(Q425="",G425=""),"",G425-Q425)</f>
        <v/>
      </c>
      <c r="S425" s="9">
        <f>IF(R425="","",SUMIFS($R$2:$R$1001,$A$2:$A$1001,A425,$E$2:$E$1001,"&lt;="&amp;E425))</f>
        <v/>
      </c>
      <c r="T425" s="5">
        <f>IF(A425="","",IF(R425="","initial",IF(ABS(R425)&lt;=ShiftThresholdDays,"unchanged",IF(R425&gt;0,"delayed","accelerated"))))</f>
        <v/>
      </c>
    </row>
    <row r="426">
      <c r="A426" s="2" t="n"/>
      <c r="B426" s="2" t="n"/>
      <c r="C426" s="2" t="n"/>
      <c r="D426" s="2" t="n"/>
      <c r="E426" s="2" t="n"/>
      <c r="F426" s="2" t="n"/>
      <c r="G426" s="3" t="n"/>
      <c r="H426" s="2" t="n"/>
      <c r="I426" s="3" t="n"/>
      <c r="J426" s="2" t="n"/>
      <c r="K426" s="2" t="n"/>
      <c r="L426" s="2" t="n"/>
      <c r="M426" s="2" t="n"/>
      <c r="N426" s="2" t="n"/>
      <c r="O426" s="2" t="n"/>
      <c r="P426" s="2" t="n"/>
      <c r="Q426" s="4">
        <f>IF(OR(A426="",E426=""),"",IF(MAXIFS($E$2:$E$1001,$A$2:$A$1001,A426,$E$2:$E$1001,"&lt;"&amp;E426)=0,"",SUMIFS($G$2:$G$1001,$A$2:$A$1001,A426,$E$2:$E$1001,MAXIFS($E$2:$E$1001,$A$2:$A$1001,A426,$E$2:$E$1001,"&lt;"&amp;E426))))</f>
        <v/>
      </c>
      <c r="R426" s="9">
        <f>IF(OR(Q426="",G426=""),"",G426-Q426)</f>
        <v/>
      </c>
      <c r="S426" s="9">
        <f>IF(R426="","",SUMIFS($R$2:$R$1001,$A$2:$A$1001,A426,$E$2:$E$1001,"&lt;="&amp;E426))</f>
        <v/>
      </c>
      <c r="T426" s="5">
        <f>IF(A426="","",IF(R426="","initial",IF(ABS(R426)&lt;=ShiftThresholdDays,"unchanged",IF(R426&gt;0,"delayed","accelerated"))))</f>
        <v/>
      </c>
    </row>
    <row r="427">
      <c r="A427" s="2" t="n"/>
      <c r="B427" s="2" t="n"/>
      <c r="C427" s="2" t="n"/>
      <c r="D427" s="2" t="n"/>
      <c r="E427" s="2" t="n"/>
      <c r="F427" s="2" t="n"/>
      <c r="G427" s="3" t="n"/>
      <c r="H427" s="2" t="n"/>
      <c r="I427" s="3" t="n"/>
      <c r="J427" s="2" t="n"/>
      <c r="K427" s="2" t="n"/>
      <c r="L427" s="2" t="n"/>
      <c r="M427" s="2" t="n"/>
      <c r="N427" s="2" t="n"/>
      <c r="O427" s="2" t="n"/>
      <c r="P427" s="2" t="n"/>
      <c r="Q427" s="4">
        <f>IF(OR(A427="",E427=""),"",IF(MAXIFS($E$2:$E$1001,$A$2:$A$1001,A427,$E$2:$E$1001,"&lt;"&amp;E427)=0,"",SUMIFS($G$2:$G$1001,$A$2:$A$1001,A427,$E$2:$E$1001,MAXIFS($E$2:$E$1001,$A$2:$A$1001,A427,$E$2:$E$1001,"&lt;"&amp;E427))))</f>
        <v/>
      </c>
      <c r="R427" s="9">
        <f>IF(OR(Q427="",G427=""),"",G427-Q427)</f>
        <v/>
      </c>
      <c r="S427" s="9">
        <f>IF(R427="","",SUMIFS($R$2:$R$1001,$A$2:$A$1001,A427,$E$2:$E$1001,"&lt;="&amp;E427))</f>
        <v/>
      </c>
      <c r="T427" s="5">
        <f>IF(A427="","",IF(R427="","initial",IF(ABS(R427)&lt;=ShiftThresholdDays,"unchanged",IF(R427&gt;0,"delayed","accelerated"))))</f>
        <v/>
      </c>
    </row>
    <row r="428">
      <c r="A428" s="2" t="n"/>
      <c r="B428" s="2" t="n"/>
      <c r="C428" s="2" t="n"/>
      <c r="D428" s="2" t="n"/>
      <c r="E428" s="2" t="n"/>
      <c r="F428" s="2" t="n"/>
      <c r="G428" s="3" t="n"/>
      <c r="H428" s="2" t="n"/>
      <c r="I428" s="3" t="n"/>
      <c r="J428" s="2" t="n"/>
      <c r="K428" s="2" t="n"/>
      <c r="L428" s="2" t="n"/>
      <c r="M428" s="2" t="n"/>
      <c r="N428" s="2" t="n"/>
      <c r="O428" s="2" t="n"/>
      <c r="P428" s="2" t="n"/>
      <c r="Q428" s="4">
        <f>IF(OR(A428="",E428=""),"",IF(MAXIFS($E$2:$E$1001,$A$2:$A$1001,A428,$E$2:$E$1001,"&lt;"&amp;E428)=0,"",SUMIFS($G$2:$G$1001,$A$2:$A$1001,A428,$E$2:$E$1001,MAXIFS($E$2:$E$1001,$A$2:$A$1001,A428,$E$2:$E$1001,"&lt;"&amp;E428))))</f>
        <v/>
      </c>
      <c r="R428" s="9">
        <f>IF(OR(Q428="",G428=""),"",G428-Q428)</f>
        <v/>
      </c>
      <c r="S428" s="9">
        <f>IF(R428="","",SUMIFS($R$2:$R$1001,$A$2:$A$1001,A428,$E$2:$E$1001,"&lt;="&amp;E428))</f>
        <v/>
      </c>
      <c r="T428" s="5">
        <f>IF(A428="","",IF(R428="","initial",IF(ABS(R428)&lt;=ShiftThresholdDays,"unchanged",IF(R428&gt;0,"delayed","accelerated"))))</f>
        <v/>
      </c>
    </row>
    <row r="429">
      <c r="A429" s="2" t="n"/>
      <c r="B429" s="2" t="n"/>
      <c r="C429" s="2" t="n"/>
      <c r="D429" s="2" t="n"/>
      <c r="E429" s="2" t="n"/>
      <c r="F429" s="2" t="n"/>
      <c r="G429" s="3" t="n"/>
      <c r="H429" s="2" t="n"/>
      <c r="I429" s="3" t="n"/>
      <c r="J429" s="2" t="n"/>
      <c r="K429" s="2" t="n"/>
      <c r="L429" s="2" t="n"/>
      <c r="M429" s="2" t="n"/>
      <c r="N429" s="2" t="n"/>
      <c r="O429" s="2" t="n"/>
      <c r="P429" s="2" t="n"/>
      <c r="Q429" s="4">
        <f>IF(OR(A429="",E429=""),"",IF(MAXIFS($E$2:$E$1001,$A$2:$A$1001,A429,$E$2:$E$1001,"&lt;"&amp;E429)=0,"",SUMIFS($G$2:$G$1001,$A$2:$A$1001,A429,$E$2:$E$1001,MAXIFS($E$2:$E$1001,$A$2:$A$1001,A429,$E$2:$E$1001,"&lt;"&amp;E429))))</f>
        <v/>
      </c>
      <c r="R429" s="9">
        <f>IF(OR(Q429="",G429=""),"",G429-Q429)</f>
        <v/>
      </c>
      <c r="S429" s="9">
        <f>IF(R429="","",SUMIFS($R$2:$R$1001,$A$2:$A$1001,A429,$E$2:$E$1001,"&lt;="&amp;E429))</f>
        <v/>
      </c>
      <c r="T429" s="5">
        <f>IF(A429="","",IF(R429="","initial",IF(ABS(R429)&lt;=ShiftThresholdDays,"unchanged",IF(R429&gt;0,"delayed","accelerated"))))</f>
        <v/>
      </c>
    </row>
    <row r="430">
      <c r="A430" s="2" t="n"/>
      <c r="B430" s="2" t="n"/>
      <c r="C430" s="2" t="n"/>
      <c r="D430" s="2" t="n"/>
      <c r="E430" s="2" t="n"/>
      <c r="F430" s="2" t="n"/>
      <c r="G430" s="3" t="n"/>
      <c r="H430" s="2" t="n"/>
      <c r="I430" s="3" t="n"/>
      <c r="J430" s="2" t="n"/>
      <c r="K430" s="2" t="n"/>
      <c r="L430" s="2" t="n"/>
      <c r="M430" s="2" t="n"/>
      <c r="N430" s="2" t="n"/>
      <c r="O430" s="2" t="n"/>
      <c r="P430" s="2" t="n"/>
      <c r="Q430" s="4">
        <f>IF(OR(A430="",E430=""),"",IF(MAXIFS($E$2:$E$1001,$A$2:$A$1001,A430,$E$2:$E$1001,"&lt;"&amp;E430)=0,"",SUMIFS($G$2:$G$1001,$A$2:$A$1001,A430,$E$2:$E$1001,MAXIFS($E$2:$E$1001,$A$2:$A$1001,A430,$E$2:$E$1001,"&lt;"&amp;E430))))</f>
        <v/>
      </c>
      <c r="R430" s="9">
        <f>IF(OR(Q430="",G430=""),"",G430-Q430)</f>
        <v/>
      </c>
      <c r="S430" s="9">
        <f>IF(R430="","",SUMIFS($R$2:$R$1001,$A$2:$A$1001,A430,$E$2:$E$1001,"&lt;="&amp;E430))</f>
        <v/>
      </c>
      <c r="T430" s="5">
        <f>IF(A430="","",IF(R430="","initial",IF(ABS(R430)&lt;=ShiftThresholdDays,"unchanged",IF(R430&gt;0,"delayed","accelerated"))))</f>
        <v/>
      </c>
    </row>
    <row r="431">
      <c r="A431" s="2" t="n"/>
      <c r="B431" s="2" t="n"/>
      <c r="C431" s="2" t="n"/>
      <c r="D431" s="2" t="n"/>
      <c r="E431" s="2" t="n"/>
      <c r="F431" s="2" t="n"/>
      <c r="G431" s="3" t="n"/>
      <c r="H431" s="2" t="n"/>
      <c r="I431" s="3" t="n"/>
      <c r="J431" s="2" t="n"/>
      <c r="K431" s="2" t="n"/>
      <c r="L431" s="2" t="n"/>
      <c r="M431" s="2" t="n"/>
      <c r="N431" s="2" t="n"/>
      <c r="O431" s="2" t="n"/>
      <c r="P431" s="2" t="n"/>
      <c r="Q431" s="4">
        <f>IF(OR(A431="",E431=""),"",IF(MAXIFS($E$2:$E$1001,$A$2:$A$1001,A431,$E$2:$E$1001,"&lt;"&amp;E431)=0,"",SUMIFS($G$2:$G$1001,$A$2:$A$1001,A431,$E$2:$E$1001,MAXIFS($E$2:$E$1001,$A$2:$A$1001,A431,$E$2:$E$1001,"&lt;"&amp;E431))))</f>
        <v/>
      </c>
      <c r="R431" s="9">
        <f>IF(OR(Q431="",G431=""),"",G431-Q431)</f>
        <v/>
      </c>
      <c r="S431" s="9">
        <f>IF(R431="","",SUMIFS($R$2:$R$1001,$A$2:$A$1001,A431,$E$2:$E$1001,"&lt;="&amp;E431))</f>
        <v/>
      </c>
      <c r="T431" s="5">
        <f>IF(A431="","",IF(R431="","initial",IF(ABS(R431)&lt;=ShiftThresholdDays,"unchanged",IF(R431&gt;0,"delayed","accelerated"))))</f>
        <v/>
      </c>
    </row>
    <row r="432">
      <c r="A432" s="2" t="n"/>
      <c r="B432" s="2" t="n"/>
      <c r="C432" s="2" t="n"/>
      <c r="D432" s="2" t="n"/>
      <c r="E432" s="2" t="n"/>
      <c r="F432" s="2" t="n"/>
      <c r="G432" s="3" t="n"/>
      <c r="H432" s="2" t="n"/>
      <c r="I432" s="3" t="n"/>
      <c r="J432" s="2" t="n"/>
      <c r="K432" s="2" t="n"/>
      <c r="L432" s="2" t="n"/>
      <c r="M432" s="2" t="n"/>
      <c r="N432" s="2" t="n"/>
      <c r="O432" s="2" t="n"/>
      <c r="P432" s="2" t="n"/>
      <c r="Q432" s="4">
        <f>IF(OR(A432="",E432=""),"",IF(MAXIFS($E$2:$E$1001,$A$2:$A$1001,A432,$E$2:$E$1001,"&lt;"&amp;E432)=0,"",SUMIFS($G$2:$G$1001,$A$2:$A$1001,A432,$E$2:$E$1001,MAXIFS($E$2:$E$1001,$A$2:$A$1001,A432,$E$2:$E$1001,"&lt;"&amp;E432))))</f>
        <v/>
      </c>
      <c r="R432" s="9">
        <f>IF(OR(Q432="",G432=""),"",G432-Q432)</f>
        <v/>
      </c>
      <c r="S432" s="9">
        <f>IF(R432="","",SUMIFS($R$2:$R$1001,$A$2:$A$1001,A432,$E$2:$E$1001,"&lt;="&amp;E432))</f>
        <v/>
      </c>
      <c r="T432" s="5">
        <f>IF(A432="","",IF(R432="","initial",IF(ABS(R432)&lt;=ShiftThresholdDays,"unchanged",IF(R432&gt;0,"delayed","accelerated"))))</f>
        <v/>
      </c>
    </row>
    <row r="433">
      <c r="A433" s="2" t="n"/>
      <c r="B433" s="2" t="n"/>
      <c r="C433" s="2" t="n"/>
      <c r="D433" s="2" t="n"/>
      <c r="E433" s="2" t="n"/>
      <c r="F433" s="2" t="n"/>
      <c r="G433" s="3" t="n"/>
      <c r="H433" s="2" t="n"/>
      <c r="I433" s="3" t="n"/>
      <c r="J433" s="2" t="n"/>
      <c r="K433" s="2" t="n"/>
      <c r="L433" s="2" t="n"/>
      <c r="M433" s="2" t="n"/>
      <c r="N433" s="2" t="n"/>
      <c r="O433" s="2" t="n"/>
      <c r="P433" s="2" t="n"/>
      <c r="Q433" s="4">
        <f>IF(OR(A433="",E433=""),"",IF(MAXIFS($E$2:$E$1001,$A$2:$A$1001,A433,$E$2:$E$1001,"&lt;"&amp;E433)=0,"",SUMIFS($G$2:$G$1001,$A$2:$A$1001,A433,$E$2:$E$1001,MAXIFS($E$2:$E$1001,$A$2:$A$1001,A433,$E$2:$E$1001,"&lt;"&amp;E433))))</f>
        <v/>
      </c>
      <c r="R433" s="9">
        <f>IF(OR(Q433="",G433=""),"",G433-Q433)</f>
        <v/>
      </c>
      <c r="S433" s="9">
        <f>IF(R433="","",SUMIFS($R$2:$R$1001,$A$2:$A$1001,A433,$E$2:$E$1001,"&lt;="&amp;E433))</f>
        <v/>
      </c>
      <c r="T433" s="5">
        <f>IF(A433="","",IF(R433="","initial",IF(ABS(R433)&lt;=ShiftThresholdDays,"unchanged",IF(R433&gt;0,"delayed","accelerated"))))</f>
        <v/>
      </c>
    </row>
    <row r="434">
      <c r="A434" s="2" t="n"/>
      <c r="B434" s="2" t="n"/>
      <c r="C434" s="2" t="n"/>
      <c r="D434" s="2" t="n"/>
      <c r="E434" s="2" t="n"/>
      <c r="F434" s="2" t="n"/>
      <c r="G434" s="3" t="n"/>
      <c r="H434" s="2" t="n"/>
      <c r="I434" s="3" t="n"/>
      <c r="J434" s="2" t="n"/>
      <c r="K434" s="2" t="n"/>
      <c r="L434" s="2" t="n"/>
      <c r="M434" s="2" t="n"/>
      <c r="N434" s="2" t="n"/>
      <c r="O434" s="2" t="n"/>
      <c r="P434" s="2" t="n"/>
      <c r="Q434" s="4">
        <f>IF(OR(A434="",E434=""),"",IF(MAXIFS($E$2:$E$1001,$A$2:$A$1001,A434,$E$2:$E$1001,"&lt;"&amp;E434)=0,"",SUMIFS($G$2:$G$1001,$A$2:$A$1001,A434,$E$2:$E$1001,MAXIFS($E$2:$E$1001,$A$2:$A$1001,A434,$E$2:$E$1001,"&lt;"&amp;E434))))</f>
        <v/>
      </c>
      <c r="R434" s="9">
        <f>IF(OR(Q434="",G434=""),"",G434-Q434)</f>
        <v/>
      </c>
      <c r="S434" s="9">
        <f>IF(R434="","",SUMIFS($R$2:$R$1001,$A$2:$A$1001,A434,$E$2:$E$1001,"&lt;="&amp;E434))</f>
        <v/>
      </c>
      <c r="T434" s="5">
        <f>IF(A434="","",IF(R434="","initial",IF(ABS(R434)&lt;=ShiftThresholdDays,"unchanged",IF(R434&gt;0,"delayed","accelerated"))))</f>
        <v/>
      </c>
    </row>
    <row r="435">
      <c r="A435" s="2" t="n"/>
      <c r="B435" s="2" t="n"/>
      <c r="C435" s="2" t="n"/>
      <c r="D435" s="2" t="n"/>
      <c r="E435" s="2" t="n"/>
      <c r="F435" s="2" t="n"/>
      <c r="G435" s="3" t="n"/>
      <c r="H435" s="2" t="n"/>
      <c r="I435" s="3" t="n"/>
      <c r="J435" s="2" t="n"/>
      <c r="K435" s="2" t="n"/>
      <c r="L435" s="2" t="n"/>
      <c r="M435" s="2" t="n"/>
      <c r="N435" s="2" t="n"/>
      <c r="O435" s="2" t="n"/>
      <c r="P435" s="2" t="n"/>
      <c r="Q435" s="4">
        <f>IF(OR(A435="",E435=""),"",IF(MAXIFS($E$2:$E$1001,$A$2:$A$1001,A435,$E$2:$E$1001,"&lt;"&amp;E435)=0,"",SUMIFS($G$2:$G$1001,$A$2:$A$1001,A435,$E$2:$E$1001,MAXIFS($E$2:$E$1001,$A$2:$A$1001,A435,$E$2:$E$1001,"&lt;"&amp;E435))))</f>
        <v/>
      </c>
      <c r="R435" s="9">
        <f>IF(OR(Q435="",G435=""),"",G435-Q435)</f>
        <v/>
      </c>
      <c r="S435" s="9">
        <f>IF(R435="","",SUMIFS($R$2:$R$1001,$A$2:$A$1001,A435,$E$2:$E$1001,"&lt;="&amp;E435))</f>
        <v/>
      </c>
      <c r="T435" s="5">
        <f>IF(A435="","",IF(R435="","initial",IF(ABS(R435)&lt;=ShiftThresholdDays,"unchanged",IF(R435&gt;0,"delayed","accelerated"))))</f>
        <v/>
      </c>
    </row>
    <row r="436">
      <c r="A436" s="2" t="n"/>
      <c r="B436" s="2" t="n"/>
      <c r="C436" s="2" t="n"/>
      <c r="D436" s="2" t="n"/>
      <c r="E436" s="2" t="n"/>
      <c r="F436" s="2" t="n"/>
      <c r="G436" s="3" t="n"/>
      <c r="H436" s="2" t="n"/>
      <c r="I436" s="3" t="n"/>
      <c r="J436" s="2" t="n"/>
      <c r="K436" s="2" t="n"/>
      <c r="L436" s="2" t="n"/>
      <c r="M436" s="2" t="n"/>
      <c r="N436" s="2" t="n"/>
      <c r="O436" s="2" t="n"/>
      <c r="P436" s="2" t="n"/>
      <c r="Q436" s="4">
        <f>IF(OR(A436="",E436=""),"",IF(MAXIFS($E$2:$E$1001,$A$2:$A$1001,A436,$E$2:$E$1001,"&lt;"&amp;E436)=0,"",SUMIFS($G$2:$G$1001,$A$2:$A$1001,A436,$E$2:$E$1001,MAXIFS($E$2:$E$1001,$A$2:$A$1001,A436,$E$2:$E$1001,"&lt;"&amp;E436))))</f>
        <v/>
      </c>
      <c r="R436" s="9">
        <f>IF(OR(Q436="",G436=""),"",G436-Q436)</f>
        <v/>
      </c>
      <c r="S436" s="9">
        <f>IF(R436="","",SUMIFS($R$2:$R$1001,$A$2:$A$1001,A436,$E$2:$E$1001,"&lt;="&amp;E436))</f>
        <v/>
      </c>
      <c r="T436" s="5">
        <f>IF(A436="","",IF(R436="","initial",IF(ABS(R436)&lt;=ShiftThresholdDays,"unchanged",IF(R436&gt;0,"delayed","accelerated"))))</f>
        <v/>
      </c>
    </row>
    <row r="437">
      <c r="A437" s="2" t="n"/>
      <c r="B437" s="2" t="n"/>
      <c r="C437" s="2" t="n"/>
      <c r="D437" s="2" t="n"/>
      <c r="E437" s="2" t="n"/>
      <c r="F437" s="2" t="n"/>
      <c r="G437" s="3" t="n"/>
      <c r="H437" s="2" t="n"/>
      <c r="I437" s="3" t="n"/>
      <c r="J437" s="2" t="n"/>
      <c r="K437" s="2" t="n"/>
      <c r="L437" s="2" t="n"/>
      <c r="M437" s="2" t="n"/>
      <c r="N437" s="2" t="n"/>
      <c r="O437" s="2" t="n"/>
      <c r="P437" s="2" t="n"/>
      <c r="Q437" s="4">
        <f>IF(OR(A437="",E437=""),"",IF(MAXIFS($E$2:$E$1001,$A$2:$A$1001,A437,$E$2:$E$1001,"&lt;"&amp;E437)=0,"",SUMIFS($G$2:$G$1001,$A$2:$A$1001,A437,$E$2:$E$1001,MAXIFS($E$2:$E$1001,$A$2:$A$1001,A437,$E$2:$E$1001,"&lt;"&amp;E437))))</f>
        <v/>
      </c>
      <c r="R437" s="9">
        <f>IF(OR(Q437="",G437=""),"",G437-Q437)</f>
        <v/>
      </c>
      <c r="S437" s="9">
        <f>IF(R437="","",SUMIFS($R$2:$R$1001,$A$2:$A$1001,A437,$E$2:$E$1001,"&lt;="&amp;E437))</f>
        <v/>
      </c>
      <c r="T437" s="5">
        <f>IF(A437="","",IF(R437="","initial",IF(ABS(R437)&lt;=ShiftThresholdDays,"unchanged",IF(R437&gt;0,"delayed","accelerated"))))</f>
        <v/>
      </c>
    </row>
    <row r="438">
      <c r="A438" s="2" t="n"/>
      <c r="B438" s="2" t="n"/>
      <c r="C438" s="2" t="n"/>
      <c r="D438" s="2" t="n"/>
      <c r="E438" s="2" t="n"/>
      <c r="F438" s="2" t="n"/>
      <c r="G438" s="3" t="n"/>
      <c r="H438" s="2" t="n"/>
      <c r="I438" s="3" t="n"/>
      <c r="J438" s="2" t="n"/>
      <c r="K438" s="2" t="n"/>
      <c r="L438" s="2" t="n"/>
      <c r="M438" s="2" t="n"/>
      <c r="N438" s="2" t="n"/>
      <c r="O438" s="2" t="n"/>
      <c r="P438" s="2" t="n"/>
      <c r="Q438" s="4">
        <f>IF(OR(A438="",E438=""),"",IF(MAXIFS($E$2:$E$1001,$A$2:$A$1001,A438,$E$2:$E$1001,"&lt;"&amp;E438)=0,"",SUMIFS($G$2:$G$1001,$A$2:$A$1001,A438,$E$2:$E$1001,MAXIFS($E$2:$E$1001,$A$2:$A$1001,A438,$E$2:$E$1001,"&lt;"&amp;E438))))</f>
        <v/>
      </c>
      <c r="R438" s="9">
        <f>IF(OR(Q438="",G438=""),"",G438-Q438)</f>
        <v/>
      </c>
      <c r="S438" s="9">
        <f>IF(R438="","",SUMIFS($R$2:$R$1001,$A$2:$A$1001,A438,$E$2:$E$1001,"&lt;="&amp;E438))</f>
        <v/>
      </c>
      <c r="T438" s="5">
        <f>IF(A438="","",IF(R438="","initial",IF(ABS(R438)&lt;=ShiftThresholdDays,"unchanged",IF(R438&gt;0,"delayed","accelerated"))))</f>
        <v/>
      </c>
    </row>
    <row r="439">
      <c r="A439" s="2" t="n"/>
      <c r="B439" s="2" t="n"/>
      <c r="C439" s="2" t="n"/>
      <c r="D439" s="2" t="n"/>
      <c r="E439" s="2" t="n"/>
      <c r="F439" s="2" t="n"/>
      <c r="G439" s="3" t="n"/>
      <c r="H439" s="2" t="n"/>
      <c r="I439" s="3" t="n"/>
      <c r="J439" s="2" t="n"/>
      <c r="K439" s="2" t="n"/>
      <c r="L439" s="2" t="n"/>
      <c r="M439" s="2" t="n"/>
      <c r="N439" s="2" t="n"/>
      <c r="O439" s="2" t="n"/>
      <c r="P439" s="2" t="n"/>
      <c r="Q439" s="4">
        <f>IF(OR(A439="",E439=""),"",IF(MAXIFS($E$2:$E$1001,$A$2:$A$1001,A439,$E$2:$E$1001,"&lt;"&amp;E439)=0,"",SUMIFS($G$2:$G$1001,$A$2:$A$1001,A439,$E$2:$E$1001,MAXIFS($E$2:$E$1001,$A$2:$A$1001,A439,$E$2:$E$1001,"&lt;"&amp;E439))))</f>
        <v/>
      </c>
      <c r="R439" s="9">
        <f>IF(OR(Q439="",G439=""),"",G439-Q439)</f>
        <v/>
      </c>
      <c r="S439" s="9">
        <f>IF(R439="","",SUMIFS($R$2:$R$1001,$A$2:$A$1001,A439,$E$2:$E$1001,"&lt;="&amp;E439))</f>
        <v/>
      </c>
      <c r="T439" s="5">
        <f>IF(A439="","",IF(R439="","initial",IF(ABS(R439)&lt;=ShiftThresholdDays,"unchanged",IF(R439&gt;0,"delayed","accelerated"))))</f>
        <v/>
      </c>
    </row>
    <row r="440">
      <c r="A440" s="2" t="n"/>
      <c r="B440" s="2" t="n"/>
      <c r="C440" s="2" t="n"/>
      <c r="D440" s="2" t="n"/>
      <c r="E440" s="2" t="n"/>
      <c r="F440" s="2" t="n"/>
      <c r="G440" s="3" t="n"/>
      <c r="H440" s="2" t="n"/>
      <c r="I440" s="3" t="n"/>
      <c r="J440" s="2" t="n"/>
      <c r="K440" s="2" t="n"/>
      <c r="L440" s="2" t="n"/>
      <c r="M440" s="2" t="n"/>
      <c r="N440" s="2" t="n"/>
      <c r="O440" s="2" t="n"/>
      <c r="P440" s="2" t="n"/>
      <c r="Q440" s="4">
        <f>IF(OR(A440="",E440=""),"",IF(MAXIFS($E$2:$E$1001,$A$2:$A$1001,A440,$E$2:$E$1001,"&lt;"&amp;E440)=0,"",SUMIFS($G$2:$G$1001,$A$2:$A$1001,A440,$E$2:$E$1001,MAXIFS($E$2:$E$1001,$A$2:$A$1001,A440,$E$2:$E$1001,"&lt;"&amp;E440))))</f>
        <v/>
      </c>
      <c r="R440" s="9">
        <f>IF(OR(Q440="",G440=""),"",G440-Q440)</f>
        <v/>
      </c>
      <c r="S440" s="9">
        <f>IF(R440="","",SUMIFS($R$2:$R$1001,$A$2:$A$1001,A440,$E$2:$E$1001,"&lt;="&amp;E440))</f>
        <v/>
      </c>
      <c r="T440" s="5">
        <f>IF(A440="","",IF(R440="","initial",IF(ABS(R440)&lt;=ShiftThresholdDays,"unchanged",IF(R440&gt;0,"delayed","accelerated"))))</f>
        <v/>
      </c>
    </row>
    <row r="441">
      <c r="A441" s="2" t="n"/>
      <c r="B441" s="2" t="n"/>
      <c r="C441" s="2" t="n"/>
      <c r="D441" s="2" t="n"/>
      <c r="E441" s="2" t="n"/>
      <c r="F441" s="2" t="n"/>
      <c r="G441" s="3" t="n"/>
      <c r="H441" s="2" t="n"/>
      <c r="I441" s="3" t="n"/>
      <c r="J441" s="2" t="n"/>
      <c r="K441" s="2" t="n"/>
      <c r="L441" s="2" t="n"/>
      <c r="M441" s="2" t="n"/>
      <c r="N441" s="2" t="n"/>
      <c r="O441" s="2" t="n"/>
      <c r="P441" s="2" t="n"/>
      <c r="Q441" s="4">
        <f>IF(OR(A441="",E441=""),"",IF(MAXIFS($E$2:$E$1001,$A$2:$A$1001,A441,$E$2:$E$1001,"&lt;"&amp;E441)=0,"",SUMIFS($G$2:$G$1001,$A$2:$A$1001,A441,$E$2:$E$1001,MAXIFS($E$2:$E$1001,$A$2:$A$1001,A441,$E$2:$E$1001,"&lt;"&amp;E441))))</f>
        <v/>
      </c>
      <c r="R441" s="9">
        <f>IF(OR(Q441="",G441=""),"",G441-Q441)</f>
        <v/>
      </c>
      <c r="S441" s="9">
        <f>IF(R441="","",SUMIFS($R$2:$R$1001,$A$2:$A$1001,A441,$E$2:$E$1001,"&lt;="&amp;E441))</f>
        <v/>
      </c>
      <c r="T441" s="5">
        <f>IF(A441="","",IF(R441="","initial",IF(ABS(R441)&lt;=ShiftThresholdDays,"unchanged",IF(R441&gt;0,"delayed","accelerated"))))</f>
        <v/>
      </c>
    </row>
    <row r="442">
      <c r="A442" s="2" t="n"/>
      <c r="B442" s="2" t="n"/>
      <c r="C442" s="2" t="n"/>
      <c r="D442" s="2" t="n"/>
      <c r="E442" s="2" t="n"/>
      <c r="F442" s="2" t="n"/>
      <c r="G442" s="3" t="n"/>
      <c r="H442" s="2" t="n"/>
      <c r="I442" s="3" t="n"/>
      <c r="J442" s="2" t="n"/>
      <c r="K442" s="2" t="n"/>
      <c r="L442" s="2" t="n"/>
      <c r="M442" s="2" t="n"/>
      <c r="N442" s="2" t="n"/>
      <c r="O442" s="2" t="n"/>
      <c r="P442" s="2" t="n"/>
      <c r="Q442" s="4">
        <f>IF(OR(A442="",E442=""),"",IF(MAXIFS($E$2:$E$1001,$A$2:$A$1001,A442,$E$2:$E$1001,"&lt;"&amp;E442)=0,"",SUMIFS($G$2:$G$1001,$A$2:$A$1001,A442,$E$2:$E$1001,MAXIFS($E$2:$E$1001,$A$2:$A$1001,A442,$E$2:$E$1001,"&lt;"&amp;E442))))</f>
        <v/>
      </c>
      <c r="R442" s="9">
        <f>IF(OR(Q442="",G442=""),"",G442-Q442)</f>
        <v/>
      </c>
      <c r="S442" s="9">
        <f>IF(R442="","",SUMIFS($R$2:$R$1001,$A$2:$A$1001,A442,$E$2:$E$1001,"&lt;="&amp;E442))</f>
        <v/>
      </c>
      <c r="T442" s="5">
        <f>IF(A442="","",IF(R442="","initial",IF(ABS(R442)&lt;=ShiftThresholdDays,"unchanged",IF(R442&gt;0,"delayed","accelerated"))))</f>
        <v/>
      </c>
    </row>
    <row r="443">
      <c r="A443" s="2" t="n"/>
      <c r="B443" s="2" t="n"/>
      <c r="C443" s="2" t="n"/>
      <c r="D443" s="2" t="n"/>
      <c r="E443" s="2" t="n"/>
      <c r="F443" s="2" t="n"/>
      <c r="G443" s="3" t="n"/>
      <c r="H443" s="2" t="n"/>
      <c r="I443" s="3" t="n"/>
      <c r="J443" s="2" t="n"/>
      <c r="K443" s="2" t="n"/>
      <c r="L443" s="2" t="n"/>
      <c r="M443" s="2" t="n"/>
      <c r="N443" s="2" t="n"/>
      <c r="O443" s="2" t="n"/>
      <c r="P443" s="2" t="n"/>
      <c r="Q443" s="4">
        <f>IF(OR(A443="",E443=""),"",IF(MAXIFS($E$2:$E$1001,$A$2:$A$1001,A443,$E$2:$E$1001,"&lt;"&amp;E443)=0,"",SUMIFS($G$2:$G$1001,$A$2:$A$1001,A443,$E$2:$E$1001,MAXIFS($E$2:$E$1001,$A$2:$A$1001,A443,$E$2:$E$1001,"&lt;"&amp;E443))))</f>
        <v/>
      </c>
      <c r="R443" s="9">
        <f>IF(OR(Q443="",G443=""),"",G443-Q443)</f>
        <v/>
      </c>
      <c r="S443" s="9">
        <f>IF(R443="","",SUMIFS($R$2:$R$1001,$A$2:$A$1001,A443,$E$2:$E$1001,"&lt;="&amp;E443))</f>
        <v/>
      </c>
      <c r="T443" s="5">
        <f>IF(A443="","",IF(R443="","initial",IF(ABS(R443)&lt;=ShiftThresholdDays,"unchanged",IF(R443&gt;0,"delayed","accelerated"))))</f>
        <v/>
      </c>
    </row>
    <row r="444">
      <c r="A444" s="2" t="n"/>
      <c r="B444" s="2" t="n"/>
      <c r="C444" s="2" t="n"/>
      <c r="D444" s="2" t="n"/>
      <c r="E444" s="2" t="n"/>
      <c r="F444" s="2" t="n"/>
      <c r="G444" s="3" t="n"/>
      <c r="H444" s="2" t="n"/>
      <c r="I444" s="3" t="n"/>
      <c r="J444" s="2" t="n"/>
      <c r="K444" s="2" t="n"/>
      <c r="L444" s="2" t="n"/>
      <c r="M444" s="2" t="n"/>
      <c r="N444" s="2" t="n"/>
      <c r="O444" s="2" t="n"/>
      <c r="P444" s="2" t="n"/>
      <c r="Q444" s="4">
        <f>IF(OR(A444="",E444=""),"",IF(MAXIFS($E$2:$E$1001,$A$2:$A$1001,A444,$E$2:$E$1001,"&lt;"&amp;E444)=0,"",SUMIFS($G$2:$G$1001,$A$2:$A$1001,A444,$E$2:$E$1001,MAXIFS($E$2:$E$1001,$A$2:$A$1001,A444,$E$2:$E$1001,"&lt;"&amp;E444))))</f>
        <v/>
      </c>
      <c r="R444" s="9">
        <f>IF(OR(Q444="",G444=""),"",G444-Q444)</f>
        <v/>
      </c>
      <c r="S444" s="9">
        <f>IF(R444="","",SUMIFS($R$2:$R$1001,$A$2:$A$1001,A444,$E$2:$E$1001,"&lt;="&amp;E444))</f>
        <v/>
      </c>
      <c r="T444" s="5">
        <f>IF(A444="","",IF(R444="","initial",IF(ABS(R444)&lt;=ShiftThresholdDays,"unchanged",IF(R444&gt;0,"delayed","accelerated"))))</f>
        <v/>
      </c>
    </row>
    <row r="445">
      <c r="A445" s="2" t="n"/>
      <c r="B445" s="2" t="n"/>
      <c r="C445" s="2" t="n"/>
      <c r="D445" s="2" t="n"/>
      <c r="E445" s="2" t="n"/>
      <c r="F445" s="2" t="n"/>
      <c r="G445" s="3" t="n"/>
      <c r="H445" s="2" t="n"/>
      <c r="I445" s="3" t="n"/>
      <c r="J445" s="2" t="n"/>
      <c r="K445" s="2" t="n"/>
      <c r="L445" s="2" t="n"/>
      <c r="M445" s="2" t="n"/>
      <c r="N445" s="2" t="n"/>
      <c r="O445" s="2" t="n"/>
      <c r="P445" s="2" t="n"/>
      <c r="Q445" s="4">
        <f>IF(OR(A445="",E445=""),"",IF(MAXIFS($E$2:$E$1001,$A$2:$A$1001,A445,$E$2:$E$1001,"&lt;"&amp;E445)=0,"",SUMIFS($G$2:$G$1001,$A$2:$A$1001,A445,$E$2:$E$1001,MAXIFS($E$2:$E$1001,$A$2:$A$1001,A445,$E$2:$E$1001,"&lt;"&amp;E445))))</f>
        <v/>
      </c>
      <c r="R445" s="9">
        <f>IF(OR(Q445="",G445=""),"",G445-Q445)</f>
        <v/>
      </c>
      <c r="S445" s="9">
        <f>IF(R445="","",SUMIFS($R$2:$R$1001,$A$2:$A$1001,A445,$E$2:$E$1001,"&lt;="&amp;E445))</f>
        <v/>
      </c>
      <c r="T445" s="5">
        <f>IF(A445="","",IF(R445="","initial",IF(ABS(R445)&lt;=ShiftThresholdDays,"unchanged",IF(R445&gt;0,"delayed","accelerated"))))</f>
        <v/>
      </c>
    </row>
    <row r="446">
      <c r="A446" s="2" t="n"/>
      <c r="B446" s="2" t="n"/>
      <c r="C446" s="2" t="n"/>
      <c r="D446" s="2" t="n"/>
      <c r="E446" s="2" t="n"/>
      <c r="F446" s="2" t="n"/>
      <c r="G446" s="3" t="n"/>
      <c r="H446" s="2" t="n"/>
      <c r="I446" s="3" t="n"/>
      <c r="J446" s="2" t="n"/>
      <c r="K446" s="2" t="n"/>
      <c r="L446" s="2" t="n"/>
      <c r="M446" s="2" t="n"/>
      <c r="N446" s="2" t="n"/>
      <c r="O446" s="2" t="n"/>
      <c r="P446" s="2" t="n"/>
      <c r="Q446" s="4">
        <f>IF(OR(A446="",E446=""),"",IF(MAXIFS($E$2:$E$1001,$A$2:$A$1001,A446,$E$2:$E$1001,"&lt;"&amp;E446)=0,"",SUMIFS($G$2:$G$1001,$A$2:$A$1001,A446,$E$2:$E$1001,MAXIFS($E$2:$E$1001,$A$2:$A$1001,A446,$E$2:$E$1001,"&lt;"&amp;E446))))</f>
        <v/>
      </c>
      <c r="R446" s="9">
        <f>IF(OR(Q446="",G446=""),"",G446-Q446)</f>
        <v/>
      </c>
      <c r="S446" s="9">
        <f>IF(R446="","",SUMIFS($R$2:$R$1001,$A$2:$A$1001,A446,$E$2:$E$1001,"&lt;="&amp;E446))</f>
        <v/>
      </c>
      <c r="T446" s="5">
        <f>IF(A446="","",IF(R446="","initial",IF(ABS(R446)&lt;=ShiftThresholdDays,"unchanged",IF(R446&gt;0,"delayed","accelerated"))))</f>
        <v/>
      </c>
    </row>
    <row r="447">
      <c r="A447" s="2" t="n"/>
      <c r="B447" s="2" t="n"/>
      <c r="C447" s="2" t="n"/>
      <c r="D447" s="2" t="n"/>
      <c r="E447" s="2" t="n"/>
      <c r="F447" s="2" t="n"/>
      <c r="G447" s="3" t="n"/>
      <c r="H447" s="2" t="n"/>
      <c r="I447" s="3" t="n"/>
      <c r="J447" s="2" t="n"/>
      <c r="K447" s="2" t="n"/>
      <c r="L447" s="2" t="n"/>
      <c r="M447" s="2" t="n"/>
      <c r="N447" s="2" t="n"/>
      <c r="O447" s="2" t="n"/>
      <c r="P447" s="2" t="n"/>
      <c r="Q447" s="4">
        <f>IF(OR(A447="",E447=""),"",IF(MAXIFS($E$2:$E$1001,$A$2:$A$1001,A447,$E$2:$E$1001,"&lt;"&amp;E447)=0,"",SUMIFS($G$2:$G$1001,$A$2:$A$1001,A447,$E$2:$E$1001,MAXIFS($E$2:$E$1001,$A$2:$A$1001,A447,$E$2:$E$1001,"&lt;"&amp;E447))))</f>
        <v/>
      </c>
      <c r="R447" s="9">
        <f>IF(OR(Q447="",G447=""),"",G447-Q447)</f>
        <v/>
      </c>
      <c r="S447" s="9">
        <f>IF(R447="","",SUMIFS($R$2:$R$1001,$A$2:$A$1001,A447,$E$2:$E$1001,"&lt;="&amp;E447))</f>
        <v/>
      </c>
      <c r="T447" s="5">
        <f>IF(A447="","",IF(R447="","initial",IF(ABS(R447)&lt;=ShiftThresholdDays,"unchanged",IF(R447&gt;0,"delayed","accelerated"))))</f>
        <v/>
      </c>
    </row>
    <row r="448">
      <c r="A448" s="2" t="n"/>
      <c r="B448" s="2" t="n"/>
      <c r="C448" s="2" t="n"/>
      <c r="D448" s="2" t="n"/>
      <c r="E448" s="2" t="n"/>
      <c r="F448" s="2" t="n"/>
      <c r="G448" s="3" t="n"/>
      <c r="H448" s="2" t="n"/>
      <c r="I448" s="3" t="n"/>
      <c r="J448" s="2" t="n"/>
      <c r="K448" s="2" t="n"/>
      <c r="L448" s="2" t="n"/>
      <c r="M448" s="2" t="n"/>
      <c r="N448" s="2" t="n"/>
      <c r="O448" s="2" t="n"/>
      <c r="P448" s="2" t="n"/>
      <c r="Q448" s="4">
        <f>IF(OR(A448="",E448=""),"",IF(MAXIFS($E$2:$E$1001,$A$2:$A$1001,A448,$E$2:$E$1001,"&lt;"&amp;E448)=0,"",SUMIFS($G$2:$G$1001,$A$2:$A$1001,A448,$E$2:$E$1001,MAXIFS($E$2:$E$1001,$A$2:$A$1001,A448,$E$2:$E$1001,"&lt;"&amp;E448))))</f>
        <v/>
      </c>
      <c r="R448" s="9">
        <f>IF(OR(Q448="",G448=""),"",G448-Q448)</f>
        <v/>
      </c>
      <c r="S448" s="9">
        <f>IF(R448="","",SUMIFS($R$2:$R$1001,$A$2:$A$1001,A448,$E$2:$E$1001,"&lt;="&amp;E448))</f>
        <v/>
      </c>
      <c r="T448" s="5">
        <f>IF(A448="","",IF(R448="","initial",IF(ABS(R448)&lt;=ShiftThresholdDays,"unchanged",IF(R448&gt;0,"delayed","accelerated"))))</f>
        <v/>
      </c>
    </row>
    <row r="449">
      <c r="A449" s="2" t="n"/>
      <c r="B449" s="2" t="n"/>
      <c r="C449" s="2" t="n"/>
      <c r="D449" s="2" t="n"/>
      <c r="E449" s="2" t="n"/>
      <c r="F449" s="2" t="n"/>
      <c r="G449" s="3" t="n"/>
      <c r="H449" s="2" t="n"/>
      <c r="I449" s="3" t="n"/>
      <c r="J449" s="2" t="n"/>
      <c r="K449" s="2" t="n"/>
      <c r="L449" s="2" t="n"/>
      <c r="M449" s="2" t="n"/>
      <c r="N449" s="2" t="n"/>
      <c r="O449" s="2" t="n"/>
      <c r="P449" s="2" t="n"/>
      <c r="Q449" s="4">
        <f>IF(OR(A449="",E449=""),"",IF(MAXIFS($E$2:$E$1001,$A$2:$A$1001,A449,$E$2:$E$1001,"&lt;"&amp;E449)=0,"",SUMIFS($G$2:$G$1001,$A$2:$A$1001,A449,$E$2:$E$1001,MAXIFS($E$2:$E$1001,$A$2:$A$1001,A449,$E$2:$E$1001,"&lt;"&amp;E449))))</f>
        <v/>
      </c>
      <c r="R449" s="9">
        <f>IF(OR(Q449="",G449=""),"",G449-Q449)</f>
        <v/>
      </c>
      <c r="S449" s="9">
        <f>IF(R449="","",SUMIFS($R$2:$R$1001,$A$2:$A$1001,A449,$E$2:$E$1001,"&lt;="&amp;E449))</f>
        <v/>
      </c>
      <c r="T449" s="5">
        <f>IF(A449="","",IF(R449="","initial",IF(ABS(R449)&lt;=ShiftThresholdDays,"unchanged",IF(R449&gt;0,"delayed","accelerated"))))</f>
        <v/>
      </c>
    </row>
    <row r="450">
      <c r="A450" s="2" t="n"/>
      <c r="B450" s="2" t="n"/>
      <c r="C450" s="2" t="n"/>
      <c r="D450" s="2" t="n"/>
      <c r="E450" s="2" t="n"/>
      <c r="F450" s="2" t="n"/>
      <c r="G450" s="3" t="n"/>
      <c r="H450" s="2" t="n"/>
      <c r="I450" s="3" t="n"/>
      <c r="J450" s="2" t="n"/>
      <c r="K450" s="2" t="n"/>
      <c r="L450" s="2" t="n"/>
      <c r="M450" s="2" t="n"/>
      <c r="N450" s="2" t="n"/>
      <c r="O450" s="2" t="n"/>
      <c r="P450" s="2" t="n"/>
      <c r="Q450" s="4">
        <f>IF(OR(A450="",E450=""),"",IF(MAXIFS($E$2:$E$1001,$A$2:$A$1001,A450,$E$2:$E$1001,"&lt;"&amp;E450)=0,"",SUMIFS($G$2:$G$1001,$A$2:$A$1001,A450,$E$2:$E$1001,MAXIFS($E$2:$E$1001,$A$2:$A$1001,A450,$E$2:$E$1001,"&lt;"&amp;E450))))</f>
        <v/>
      </c>
      <c r="R450" s="9">
        <f>IF(OR(Q450="",G450=""),"",G450-Q450)</f>
        <v/>
      </c>
      <c r="S450" s="9">
        <f>IF(R450="","",SUMIFS($R$2:$R$1001,$A$2:$A$1001,A450,$E$2:$E$1001,"&lt;="&amp;E450))</f>
        <v/>
      </c>
      <c r="T450" s="5">
        <f>IF(A450="","",IF(R450="","initial",IF(ABS(R450)&lt;=ShiftThresholdDays,"unchanged",IF(R450&gt;0,"delayed","accelerated"))))</f>
        <v/>
      </c>
    </row>
    <row r="451">
      <c r="A451" s="2" t="n"/>
      <c r="B451" s="2" t="n"/>
      <c r="C451" s="2" t="n"/>
      <c r="D451" s="2" t="n"/>
      <c r="E451" s="2" t="n"/>
      <c r="F451" s="2" t="n"/>
      <c r="G451" s="3" t="n"/>
      <c r="H451" s="2" t="n"/>
      <c r="I451" s="3" t="n"/>
      <c r="J451" s="2" t="n"/>
      <c r="K451" s="2" t="n"/>
      <c r="L451" s="2" t="n"/>
      <c r="M451" s="2" t="n"/>
      <c r="N451" s="2" t="n"/>
      <c r="O451" s="2" t="n"/>
      <c r="P451" s="2" t="n"/>
      <c r="Q451" s="4">
        <f>IF(OR(A451="",E451=""),"",IF(MAXIFS($E$2:$E$1001,$A$2:$A$1001,A451,$E$2:$E$1001,"&lt;"&amp;E451)=0,"",SUMIFS($G$2:$G$1001,$A$2:$A$1001,A451,$E$2:$E$1001,MAXIFS($E$2:$E$1001,$A$2:$A$1001,A451,$E$2:$E$1001,"&lt;"&amp;E451))))</f>
        <v/>
      </c>
      <c r="R451" s="9">
        <f>IF(OR(Q451="",G451=""),"",G451-Q451)</f>
        <v/>
      </c>
      <c r="S451" s="9">
        <f>IF(R451="","",SUMIFS($R$2:$R$1001,$A$2:$A$1001,A451,$E$2:$E$1001,"&lt;="&amp;E451))</f>
        <v/>
      </c>
      <c r="T451" s="5">
        <f>IF(A451="","",IF(R451="","initial",IF(ABS(R451)&lt;=ShiftThresholdDays,"unchanged",IF(R451&gt;0,"delayed","accelerated"))))</f>
        <v/>
      </c>
    </row>
    <row r="452">
      <c r="A452" s="2" t="n"/>
      <c r="B452" s="2" t="n"/>
      <c r="C452" s="2" t="n"/>
      <c r="D452" s="2" t="n"/>
      <c r="E452" s="2" t="n"/>
      <c r="F452" s="2" t="n"/>
      <c r="G452" s="3" t="n"/>
      <c r="H452" s="2" t="n"/>
      <c r="I452" s="3" t="n"/>
      <c r="J452" s="2" t="n"/>
      <c r="K452" s="2" t="n"/>
      <c r="L452" s="2" t="n"/>
      <c r="M452" s="2" t="n"/>
      <c r="N452" s="2" t="n"/>
      <c r="O452" s="2" t="n"/>
      <c r="P452" s="2" t="n"/>
      <c r="Q452" s="4">
        <f>IF(OR(A452="",E452=""),"",IF(MAXIFS($E$2:$E$1001,$A$2:$A$1001,A452,$E$2:$E$1001,"&lt;"&amp;E452)=0,"",SUMIFS($G$2:$G$1001,$A$2:$A$1001,A452,$E$2:$E$1001,MAXIFS($E$2:$E$1001,$A$2:$A$1001,A452,$E$2:$E$1001,"&lt;"&amp;E452))))</f>
        <v/>
      </c>
      <c r="R452" s="9">
        <f>IF(OR(Q452="",G452=""),"",G452-Q452)</f>
        <v/>
      </c>
      <c r="S452" s="9">
        <f>IF(R452="","",SUMIFS($R$2:$R$1001,$A$2:$A$1001,A452,$E$2:$E$1001,"&lt;="&amp;E452))</f>
        <v/>
      </c>
      <c r="T452" s="5">
        <f>IF(A452="","",IF(R452="","initial",IF(ABS(R452)&lt;=ShiftThresholdDays,"unchanged",IF(R452&gt;0,"delayed","accelerated"))))</f>
        <v/>
      </c>
    </row>
    <row r="453">
      <c r="A453" s="2" t="n"/>
      <c r="B453" s="2" t="n"/>
      <c r="C453" s="2" t="n"/>
      <c r="D453" s="2" t="n"/>
      <c r="E453" s="2" t="n"/>
      <c r="F453" s="2" t="n"/>
      <c r="G453" s="3" t="n"/>
      <c r="H453" s="2" t="n"/>
      <c r="I453" s="3" t="n"/>
      <c r="J453" s="2" t="n"/>
      <c r="K453" s="2" t="n"/>
      <c r="L453" s="2" t="n"/>
      <c r="M453" s="2" t="n"/>
      <c r="N453" s="2" t="n"/>
      <c r="O453" s="2" t="n"/>
      <c r="P453" s="2" t="n"/>
      <c r="Q453" s="4">
        <f>IF(OR(A453="",E453=""),"",IF(MAXIFS($E$2:$E$1001,$A$2:$A$1001,A453,$E$2:$E$1001,"&lt;"&amp;E453)=0,"",SUMIFS($G$2:$G$1001,$A$2:$A$1001,A453,$E$2:$E$1001,MAXIFS($E$2:$E$1001,$A$2:$A$1001,A453,$E$2:$E$1001,"&lt;"&amp;E453))))</f>
        <v/>
      </c>
      <c r="R453" s="9">
        <f>IF(OR(Q453="",G453=""),"",G453-Q453)</f>
        <v/>
      </c>
      <c r="S453" s="9">
        <f>IF(R453="","",SUMIFS($R$2:$R$1001,$A$2:$A$1001,A453,$E$2:$E$1001,"&lt;="&amp;E453))</f>
        <v/>
      </c>
      <c r="T453" s="5">
        <f>IF(A453="","",IF(R453="","initial",IF(ABS(R453)&lt;=ShiftThresholdDays,"unchanged",IF(R453&gt;0,"delayed","accelerated"))))</f>
        <v/>
      </c>
    </row>
    <row r="454">
      <c r="A454" s="2" t="n"/>
      <c r="B454" s="2" t="n"/>
      <c r="C454" s="2" t="n"/>
      <c r="D454" s="2" t="n"/>
      <c r="E454" s="2" t="n"/>
      <c r="F454" s="2" t="n"/>
      <c r="G454" s="3" t="n"/>
      <c r="H454" s="2" t="n"/>
      <c r="I454" s="3" t="n"/>
      <c r="J454" s="2" t="n"/>
      <c r="K454" s="2" t="n"/>
      <c r="L454" s="2" t="n"/>
      <c r="M454" s="2" t="n"/>
      <c r="N454" s="2" t="n"/>
      <c r="O454" s="2" t="n"/>
      <c r="P454" s="2" t="n"/>
      <c r="Q454" s="4">
        <f>IF(OR(A454="",E454=""),"",IF(MAXIFS($E$2:$E$1001,$A$2:$A$1001,A454,$E$2:$E$1001,"&lt;"&amp;E454)=0,"",SUMIFS($G$2:$G$1001,$A$2:$A$1001,A454,$E$2:$E$1001,MAXIFS($E$2:$E$1001,$A$2:$A$1001,A454,$E$2:$E$1001,"&lt;"&amp;E454))))</f>
        <v/>
      </c>
      <c r="R454" s="9">
        <f>IF(OR(Q454="",G454=""),"",G454-Q454)</f>
        <v/>
      </c>
      <c r="S454" s="9">
        <f>IF(R454="","",SUMIFS($R$2:$R$1001,$A$2:$A$1001,A454,$E$2:$E$1001,"&lt;="&amp;E454))</f>
        <v/>
      </c>
      <c r="T454" s="5">
        <f>IF(A454="","",IF(R454="","initial",IF(ABS(R454)&lt;=ShiftThresholdDays,"unchanged",IF(R454&gt;0,"delayed","accelerated"))))</f>
        <v/>
      </c>
    </row>
    <row r="455">
      <c r="A455" s="2" t="n"/>
      <c r="B455" s="2" t="n"/>
      <c r="C455" s="2" t="n"/>
      <c r="D455" s="2" t="n"/>
      <c r="E455" s="2" t="n"/>
      <c r="F455" s="2" t="n"/>
      <c r="G455" s="3" t="n"/>
      <c r="H455" s="2" t="n"/>
      <c r="I455" s="3" t="n"/>
      <c r="J455" s="2" t="n"/>
      <c r="K455" s="2" t="n"/>
      <c r="L455" s="2" t="n"/>
      <c r="M455" s="2" t="n"/>
      <c r="N455" s="2" t="n"/>
      <c r="O455" s="2" t="n"/>
      <c r="P455" s="2" t="n"/>
      <c r="Q455" s="4">
        <f>IF(OR(A455="",E455=""),"",IF(MAXIFS($E$2:$E$1001,$A$2:$A$1001,A455,$E$2:$E$1001,"&lt;"&amp;E455)=0,"",SUMIFS($G$2:$G$1001,$A$2:$A$1001,A455,$E$2:$E$1001,MAXIFS($E$2:$E$1001,$A$2:$A$1001,A455,$E$2:$E$1001,"&lt;"&amp;E455))))</f>
        <v/>
      </c>
      <c r="R455" s="9">
        <f>IF(OR(Q455="",G455=""),"",G455-Q455)</f>
        <v/>
      </c>
      <c r="S455" s="9">
        <f>IF(R455="","",SUMIFS($R$2:$R$1001,$A$2:$A$1001,A455,$E$2:$E$1001,"&lt;="&amp;E455))</f>
        <v/>
      </c>
      <c r="T455" s="5">
        <f>IF(A455="","",IF(R455="","initial",IF(ABS(R455)&lt;=ShiftThresholdDays,"unchanged",IF(R455&gt;0,"delayed","accelerated"))))</f>
        <v/>
      </c>
    </row>
    <row r="456">
      <c r="A456" s="2" t="n"/>
      <c r="B456" s="2" t="n"/>
      <c r="C456" s="2" t="n"/>
      <c r="D456" s="2" t="n"/>
      <c r="E456" s="2" t="n"/>
      <c r="F456" s="2" t="n"/>
      <c r="G456" s="3" t="n"/>
      <c r="H456" s="2" t="n"/>
      <c r="I456" s="3" t="n"/>
      <c r="J456" s="2" t="n"/>
      <c r="K456" s="2" t="n"/>
      <c r="L456" s="2" t="n"/>
      <c r="M456" s="2" t="n"/>
      <c r="N456" s="2" t="n"/>
      <c r="O456" s="2" t="n"/>
      <c r="P456" s="2" t="n"/>
      <c r="Q456" s="4">
        <f>IF(OR(A456="",E456=""),"",IF(MAXIFS($E$2:$E$1001,$A$2:$A$1001,A456,$E$2:$E$1001,"&lt;"&amp;E456)=0,"",SUMIFS($G$2:$G$1001,$A$2:$A$1001,A456,$E$2:$E$1001,MAXIFS($E$2:$E$1001,$A$2:$A$1001,A456,$E$2:$E$1001,"&lt;"&amp;E456))))</f>
        <v/>
      </c>
      <c r="R456" s="9">
        <f>IF(OR(Q456="",G456=""),"",G456-Q456)</f>
        <v/>
      </c>
      <c r="S456" s="9">
        <f>IF(R456="","",SUMIFS($R$2:$R$1001,$A$2:$A$1001,A456,$E$2:$E$1001,"&lt;="&amp;E456))</f>
        <v/>
      </c>
      <c r="T456" s="5">
        <f>IF(A456="","",IF(R456="","initial",IF(ABS(R456)&lt;=ShiftThresholdDays,"unchanged",IF(R456&gt;0,"delayed","accelerated"))))</f>
        <v/>
      </c>
    </row>
    <row r="457">
      <c r="A457" s="2" t="n"/>
      <c r="B457" s="2" t="n"/>
      <c r="C457" s="2" t="n"/>
      <c r="D457" s="2" t="n"/>
      <c r="E457" s="2" t="n"/>
      <c r="F457" s="2" t="n"/>
      <c r="G457" s="3" t="n"/>
      <c r="H457" s="2" t="n"/>
      <c r="I457" s="3" t="n"/>
      <c r="J457" s="2" t="n"/>
      <c r="K457" s="2" t="n"/>
      <c r="L457" s="2" t="n"/>
      <c r="M457" s="2" t="n"/>
      <c r="N457" s="2" t="n"/>
      <c r="O457" s="2" t="n"/>
      <c r="P457" s="2" t="n"/>
      <c r="Q457" s="4">
        <f>IF(OR(A457="",E457=""),"",IF(MAXIFS($E$2:$E$1001,$A$2:$A$1001,A457,$E$2:$E$1001,"&lt;"&amp;E457)=0,"",SUMIFS($G$2:$G$1001,$A$2:$A$1001,A457,$E$2:$E$1001,MAXIFS($E$2:$E$1001,$A$2:$A$1001,A457,$E$2:$E$1001,"&lt;"&amp;E457))))</f>
        <v/>
      </c>
      <c r="R457" s="9">
        <f>IF(OR(Q457="",G457=""),"",G457-Q457)</f>
        <v/>
      </c>
      <c r="S457" s="9">
        <f>IF(R457="","",SUMIFS($R$2:$R$1001,$A$2:$A$1001,A457,$E$2:$E$1001,"&lt;="&amp;E457))</f>
        <v/>
      </c>
      <c r="T457" s="5">
        <f>IF(A457="","",IF(R457="","initial",IF(ABS(R457)&lt;=ShiftThresholdDays,"unchanged",IF(R457&gt;0,"delayed","accelerated"))))</f>
        <v/>
      </c>
    </row>
    <row r="458">
      <c r="A458" s="2" t="n"/>
      <c r="B458" s="2" t="n"/>
      <c r="C458" s="2" t="n"/>
      <c r="D458" s="2" t="n"/>
      <c r="E458" s="2" t="n"/>
      <c r="F458" s="2" t="n"/>
      <c r="G458" s="3" t="n"/>
      <c r="H458" s="2" t="n"/>
      <c r="I458" s="3" t="n"/>
      <c r="J458" s="2" t="n"/>
      <c r="K458" s="2" t="n"/>
      <c r="L458" s="2" t="n"/>
      <c r="M458" s="2" t="n"/>
      <c r="N458" s="2" t="n"/>
      <c r="O458" s="2" t="n"/>
      <c r="P458" s="2" t="n"/>
      <c r="Q458" s="4">
        <f>IF(OR(A458="",E458=""),"",IF(MAXIFS($E$2:$E$1001,$A$2:$A$1001,A458,$E$2:$E$1001,"&lt;"&amp;E458)=0,"",SUMIFS($G$2:$G$1001,$A$2:$A$1001,A458,$E$2:$E$1001,MAXIFS($E$2:$E$1001,$A$2:$A$1001,A458,$E$2:$E$1001,"&lt;"&amp;E458))))</f>
        <v/>
      </c>
      <c r="R458" s="9">
        <f>IF(OR(Q458="",G458=""),"",G458-Q458)</f>
        <v/>
      </c>
      <c r="S458" s="9">
        <f>IF(R458="","",SUMIFS($R$2:$R$1001,$A$2:$A$1001,A458,$E$2:$E$1001,"&lt;="&amp;E458))</f>
        <v/>
      </c>
      <c r="T458" s="5">
        <f>IF(A458="","",IF(R458="","initial",IF(ABS(R458)&lt;=ShiftThresholdDays,"unchanged",IF(R458&gt;0,"delayed","accelerated"))))</f>
        <v/>
      </c>
    </row>
    <row r="459">
      <c r="A459" s="2" t="n"/>
      <c r="B459" s="2" t="n"/>
      <c r="C459" s="2" t="n"/>
      <c r="D459" s="2" t="n"/>
      <c r="E459" s="2" t="n"/>
      <c r="F459" s="2" t="n"/>
      <c r="G459" s="3" t="n"/>
      <c r="H459" s="2" t="n"/>
      <c r="I459" s="3" t="n"/>
      <c r="J459" s="2" t="n"/>
      <c r="K459" s="2" t="n"/>
      <c r="L459" s="2" t="n"/>
      <c r="M459" s="2" t="n"/>
      <c r="N459" s="2" t="n"/>
      <c r="O459" s="2" t="n"/>
      <c r="P459" s="2" t="n"/>
      <c r="Q459" s="4">
        <f>IF(OR(A459="",E459=""),"",IF(MAXIFS($E$2:$E$1001,$A$2:$A$1001,A459,$E$2:$E$1001,"&lt;"&amp;E459)=0,"",SUMIFS($G$2:$G$1001,$A$2:$A$1001,A459,$E$2:$E$1001,MAXIFS($E$2:$E$1001,$A$2:$A$1001,A459,$E$2:$E$1001,"&lt;"&amp;E459))))</f>
        <v/>
      </c>
      <c r="R459" s="9">
        <f>IF(OR(Q459="",G459=""),"",G459-Q459)</f>
        <v/>
      </c>
      <c r="S459" s="9">
        <f>IF(R459="","",SUMIFS($R$2:$R$1001,$A$2:$A$1001,A459,$E$2:$E$1001,"&lt;="&amp;E459))</f>
        <v/>
      </c>
      <c r="T459" s="5">
        <f>IF(A459="","",IF(R459="","initial",IF(ABS(R459)&lt;=ShiftThresholdDays,"unchanged",IF(R459&gt;0,"delayed","accelerated"))))</f>
        <v/>
      </c>
    </row>
    <row r="460">
      <c r="A460" s="2" t="n"/>
      <c r="B460" s="2" t="n"/>
      <c r="C460" s="2" t="n"/>
      <c r="D460" s="2" t="n"/>
      <c r="E460" s="2" t="n"/>
      <c r="F460" s="2" t="n"/>
      <c r="G460" s="3" t="n"/>
      <c r="H460" s="2" t="n"/>
      <c r="I460" s="3" t="n"/>
      <c r="J460" s="2" t="n"/>
      <c r="K460" s="2" t="n"/>
      <c r="L460" s="2" t="n"/>
      <c r="M460" s="2" t="n"/>
      <c r="N460" s="2" t="n"/>
      <c r="O460" s="2" t="n"/>
      <c r="P460" s="2" t="n"/>
      <c r="Q460" s="4">
        <f>IF(OR(A460="",E460=""),"",IF(MAXIFS($E$2:$E$1001,$A$2:$A$1001,A460,$E$2:$E$1001,"&lt;"&amp;E460)=0,"",SUMIFS($G$2:$G$1001,$A$2:$A$1001,A460,$E$2:$E$1001,MAXIFS($E$2:$E$1001,$A$2:$A$1001,A460,$E$2:$E$1001,"&lt;"&amp;E460))))</f>
        <v/>
      </c>
      <c r="R460" s="9">
        <f>IF(OR(Q460="",G460=""),"",G460-Q460)</f>
        <v/>
      </c>
      <c r="S460" s="9">
        <f>IF(R460="","",SUMIFS($R$2:$R$1001,$A$2:$A$1001,A460,$E$2:$E$1001,"&lt;="&amp;E460))</f>
        <v/>
      </c>
      <c r="T460" s="5">
        <f>IF(A460="","",IF(R460="","initial",IF(ABS(R460)&lt;=ShiftThresholdDays,"unchanged",IF(R460&gt;0,"delayed","accelerated"))))</f>
        <v/>
      </c>
    </row>
    <row r="461">
      <c r="A461" s="2" t="n"/>
      <c r="B461" s="2" t="n"/>
      <c r="C461" s="2" t="n"/>
      <c r="D461" s="2" t="n"/>
      <c r="E461" s="2" t="n"/>
      <c r="F461" s="2" t="n"/>
      <c r="G461" s="3" t="n"/>
      <c r="H461" s="2" t="n"/>
      <c r="I461" s="3" t="n"/>
      <c r="J461" s="2" t="n"/>
      <c r="K461" s="2" t="n"/>
      <c r="L461" s="2" t="n"/>
      <c r="M461" s="2" t="n"/>
      <c r="N461" s="2" t="n"/>
      <c r="O461" s="2" t="n"/>
      <c r="P461" s="2" t="n"/>
      <c r="Q461" s="4">
        <f>IF(OR(A461="",E461=""),"",IF(MAXIFS($E$2:$E$1001,$A$2:$A$1001,A461,$E$2:$E$1001,"&lt;"&amp;E461)=0,"",SUMIFS($G$2:$G$1001,$A$2:$A$1001,A461,$E$2:$E$1001,MAXIFS($E$2:$E$1001,$A$2:$A$1001,A461,$E$2:$E$1001,"&lt;"&amp;E461))))</f>
        <v/>
      </c>
      <c r="R461" s="9">
        <f>IF(OR(Q461="",G461=""),"",G461-Q461)</f>
        <v/>
      </c>
      <c r="S461" s="9">
        <f>IF(R461="","",SUMIFS($R$2:$R$1001,$A$2:$A$1001,A461,$E$2:$E$1001,"&lt;="&amp;E461))</f>
        <v/>
      </c>
      <c r="T461" s="5">
        <f>IF(A461="","",IF(R461="","initial",IF(ABS(R461)&lt;=ShiftThresholdDays,"unchanged",IF(R461&gt;0,"delayed","accelerated"))))</f>
        <v/>
      </c>
    </row>
    <row r="462">
      <c r="A462" s="2" t="n"/>
      <c r="B462" s="2" t="n"/>
      <c r="C462" s="2" t="n"/>
      <c r="D462" s="2" t="n"/>
      <c r="E462" s="2" t="n"/>
      <c r="F462" s="2" t="n"/>
      <c r="G462" s="3" t="n"/>
      <c r="H462" s="2" t="n"/>
      <c r="I462" s="3" t="n"/>
      <c r="J462" s="2" t="n"/>
      <c r="K462" s="2" t="n"/>
      <c r="L462" s="2" t="n"/>
      <c r="M462" s="2" t="n"/>
      <c r="N462" s="2" t="n"/>
      <c r="O462" s="2" t="n"/>
      <c r="P462" s="2" t="n"/>
      <c r="Q462" s="4">
        <f>IF(OR(A462="",E462=""),"",IF(MAXIFS($E$2:$E$1001,$A$2:$A$1001,A462,$E$2:$E$1001,"&lt;"&amp;E462)=0,"",SUMIFS($G$2:$G$1001,$A$2:$A$1001,A462,$E$2:$E$1001,MAXIFS($E$2:$E$1001,$A$2:$A$1001,A462,$E$2:$E$1001,"&lt;"&amp;E462))))</f>
        <v/>
      </c>
      <c r="R462" s="9">
        <f>IF(OR(Q462="",G462=""),"",G462-Q462)</f>
        <v/>
      </c>
      <c r="S462" s="9">
        <f>IF(R462="","",SUMIFS($R$2:$R$1001,$A$2:$A$1001,A462,$E$2:$E$1001,"&lt;="&amp;E462))</f>
        <v/>
      </c>
      <c r="T462" s="5">
        <f>IF(A462="","",IF(R462="","initial",IF(ABS(R462)&lt;=ShiftThresholdDays,"unchanged",IF(R462&gt;0,"delayed","accelerated"))))</f>
        <v/>
      </c>
    </row>
    <row r="463">
      <c r="A463" s="2" t="n"/>
      <c r="B463" s="2" t="n"/>
      <c r="C463" s="2" t="n"/>
      <c r="D463" s="2" t="n"/>
      <c r="E463" s="2" t="n"/>
      <c r="F463" s="2" t="n"/>
      <c r="G463" s="3" t="n"/>
      <c r="H463" s="2" t="n"/>
      <c r="I463" s="3" t="n"/>
      <c r="J463" s="2" t="n"/>
      <c r="K463" s="2" t="n"/>
      <c r="L463" s="2" t="n"/>
      <c r="M463" s="2" t="n"/>
      <c r="N463" s="2" t="n"/>
      <c r="O463" s="2" t="n"/>
      <c r="P463" s="2" t="n"/>
      <c r="Q463" s="4">
        <f>IF(OR(A463="",E463=""),"",IF(MAXIFS($E$2:$E$1001,$A$2:$A$1001,A463,$E$2:$E$1001,"&lt;"&amp;E463)=0,"",SUMIFS($G$2:$G$1001,$A$2:$A$1001,A463,$E$2:$E$1001,MAXIFS($E$2:$E$1001,$A$2:$A$1001,A463,$E$2:$E$1001,"&lt;"&amp;E463))))</f>
        <v/>
      </c>
      <c r="R463" s="9">
        <f>IF(OR(Q463="",G463=""),"",G463-Q463)</f>
        <v/>
      </c>
      <c r="S463" s="9">
        <f>IF(R463="","",SUMIFS($R$2:$R$1001,$A$2:$A$1001,A463,$E$2:$E$1001,"&lt;="&amp;E463))</f>
        <v/>
      </c>
      <c r="T463" s="5">
        <f>IF(A463="","",IF(R463="","initial",IF(ABS(R463)&lt;=ShiftThresholdDays,"unchanged",IF(R463&gt;0,"delayed","accelerated"))))</f>
        <v/>
      </c>
    </row>
    <row r="464">
      <c r="A464" s="2" t="n"/>
      <c r="B464" s="2" t="n"/>
      <c r="C464" s="2" t="n"/>
      <c r="D464" s="2" t="n"/>
      <c r="E464" s="2" t="n"/>
      <c r="F464" s="2" t="n"/>
      <c r="G464" s="3" t="n"/>
      <c r="H464" s="2" t="n"/>
      <c r="I464" s="3" t="n"/>
      <c r="J464" s="2" t="n"/>
      <c r="K464" s="2" t="n"/>
      <c r="L464" s="2" t="n"/>
      <c r="M464" s="2" t="n"/>
      <c r="N464" s="2" t="n"/>
      <c r="O464" s="2" t="n"/>
      <c r="P464" s="2" t="n"/>
      <c r="Q464" s="4">
        <f>IF(OR(A464="",E464=""),"",IF(MAXIFS($E$2:$E$1001,$A$2:$A$1001,A464,$E$2:$E$1001,"&lt;"&amp;E464)=0,"",SUMIFS($G$2:$G$1001,$A$2:$A$1001,A464,$E$2:$E$1001,MAXIFS($E$2:$E$1001,$A$2:$A$1001,A464,$E$2:$E$1001,"&lt;"&amp;E464))))</f>
        <v/>
      </c>
      <c r="R464" s="9">
        <f>IF(OR(Q464="",G464=""),"",G464-Q464)</f>
        <v/>
      </c>
      <c r="S464" s="9">
        <f>IF(R464="","",SUMIFS($R$2:$R$1001,$A$2:$A$1001,A464,$E$2:$E$1001,"&lt;="&amp;E464))</f>
        <v/>
      </c>
      <c r="T464" s="5">
        <f>IF(A464="","",IF(R464="","initial",IF(ABS(R464)&lt;=ShiftThresholdDays,"unchanged",IF(R464&gt;0,"delayed","accelerated"))))</f>
        <v/>
      </c>
    </row>
    <row r="465">
      <c r="A465" s="2" t="n"/>
      <c r="B465" s="2" t="n"/>
      <c r="C465" s="2" t="n"/>
      <c r="D465" s="2" t="n"/>
      <c r="E465" s="2" t="n"/>
      <c r="F465" s="2" t="n"/>
      <c r="G465" s="3" t="n"/>
      <c r="H465" s="2" t="n"/>
      <c r="I465" s="3" t="n"/>
      <c r="J465" s="2" t="n"/>
      <c r="K465" s="2" t="n"/>
      <c r="L465" s="2" t="n"/>
      <c r="M465" s="2" t="n"/>
      <c r="N465" s="2" t="n"/>
      <c r="O465" s="2" t="n"/>
      <c r="P465" s="2" t="n"/>
      <c r="Q465" s="4">
        <f>IF(OR(A465="",E465=""),"",IF(MAXIFS($E$2:$E$1001,$A$2:$A$1001,A465,$E$2:$E$1001,"&lt;"&amp;E465)=0,"",SUMIFS($G$2:$G$1001,$A$2:$A$1001,A465,$E$2:$E$1001,MAXIFS($E$2:$E$1001,$A$2:$A$1001,A465,$E$2:$E$1001,"&lt;"&amp;E465))))</f>
        <v/>
      </c>
      <c r="R465" s="9">
        <f>IF(OR(Q465="",G465=""),"",G465-Q465)</f>
        <v/>
      </c>
      <c r="S465" s="9">
        <f>IF(R465="","",SUMIFS($R$2:$R$1001,$A$2:$A$1001,A465,$E$2:$E$1001,"&lt;="&amp;E465))</f>
        <v/>
      </c>
      <c r="T465" s="5">
        <f>IF(A465="","",IF(R465="","initial",IF(ABS(R465)&lt;=ShiftThresholdDays,"unchanged",IF(R465&gt;0,"delayed","accelerated"))))</f>
        <v/>
      </c>
    </row>
    <row r="466">
      <c r="A466" s="2" t="n"/>
      <c r="B466" s="2" t="n"/>
      <c r="C466" s="2" t="n"/>
      <c r="D466" s="2" t="n"/>
      <c r="E466" s="2" t="n"/>
      <c r="F466" s="2" t="n"/>
      <c r="G466" s="3" t="n"/>
      <c r="H466" s="2" t="n"/>
      <c r="I466" s="3" t="n"/>
      <c r="J466" s="2" t="n"/>
      <c r="K466" s="2" t="n"/>
      <c r="L466" s="2" t="n"/>
      <c r="M466" s="2" t="n"/>
      <c r="N466" s="2" t="n"/>
      <c r="O466" s="2" t="n"/>
      <c r="P466" s="2" t="n"/>
      <c r="Q466" s="4">
        <f>IF(OR(A466="",E466=""),"",IF(MAXIFS($E$2:$E$1001,$A$2:$A$1001,A466,$E$2:$E$1001,"&lt;"&amp;E466)=0,"",SUMIFS($G$2:$G$1001,$A$2:$A$1001,A466,$E$2:$E$1001,MAXIFS($E$2:$E$1001,$A$2:$A$1001,A466,$E$2:$E$1001,"&lt;"&amp;E466))))</f>
        <v/>
      </c>
      <c r="R466" s="9">
        <f>IF(OR(Q466="",G466=""),"",G466-Q466)</f>
        <v/>
      </c>
      <c r="S466" s="9">
        <f>IF(R466="","",SUMIFS($R$2:$R$1001,$A$2:$A$1001,A466,$E$2:$E$1001,"&lt;="&amp;E466))</f>
        <v/>
      </c>
      <c r="T466" s="5">
        <f>IF(A466="","",IF(R466="","initial",IF(ABS(R466)&lt;=ShiftThresholdDays,"unchanged",IF(R466&gt;0,"delayed","accelerated"))))</f>
        <v/>
      </c>
    </row>
    <row r="467">
      <c r="A467" s="2" t="n"/>
      <c r="B467" s="2" t="n"/>
      <c r="C467" s="2" t="n"/>
      <c r="D467" s="2" t="n"/>
      <c r="E467" s="2" t="n"/>
      <c r="F467" s="2" t="n"/>
      <c r="G467" s="3" t="n"/>
      <c r="H467" s="2" t="n"/>
      <c r="I467" s="3" t="n"/>
      <c r="J467" s="2" t="n"/>
      <c r="K467" s="2" t="n"/>
      <c r="L467" s="2" t="n"/>
      <c r="M467" s="2" t="n"/>
      <c r="N467" s="2" t="n"/>
      <c r="O467" s="2" t="n"/>
      <c r="P467" s="2" t="n"/>
      <c r="Q467" s="4">
        <f>IF(OR(A467="",E467=""),"",IF(MAXIFS($E$2:$E$1001,$A$2:$A$1001,A467,$E$2:$E$1001,"&lt;"&amp;E467)=0,"",SUMIFS($G$2:$G$1001,$A$2:$A$1001,A467,$E$2:$E$1001,MAXIFS($E$2:$E$1001,$A$2:$A$1001,A467,$E$2:$E$1001,"&lt;"&amp;E467))))</f>
        <v/>
      </c>
      <c r="R467" s="9">
        <f>IF(OR(Q467="",G467=""),"",G467-Q467)</f>
        <v/>
      </c>
      <c r="S467" s="9">
        <f>IF(R467="","",SUMIFS($R$2:$R$1001,$A$2:$A$1001,A467,$E$2:$E$1001,"&lt;="&amp;E467))</f>
        <v/>
      </c>
      <c r="T467" s="5">
        <f>IF(A467="","",IF(R467="","initial",IF(ABS(R467)&lt;=ShiftThresholdDays,"unchanged",IF(R467&gt;0,"delayed","accelerated"))))</f>
        <v/>
      </c>
    </row>
    <row r="468">
      <c r="A468" s="2" t="n"/>
      <c r="B468" s="2" t="n"/>
      <c r="C468" s="2" t="n"/>
      <c r="D468" s="2" t="n"/>
      <c r="E468" s="2" t="n"/>
      <c r="F468" s="2" t="n"/>
      <c r="G468" s="3" t="n"/>
      <c r="H468" s="2" t="n"/>
      <c r="I468" s="3" t="n"/>
      <c r="J468" s="2" t="n"/>
      <c r="K468" s="2" t="n"/>
      <c r="L468" s="2" t="n"/>
      <c r="M468" s="2" t="n"/>
      <c r="N468" s="2" t="n"/>
      <c r="O468" s="2" t="n"/>
      <c r="P468" s="2" t="n"/>
      <c r="Q468" s="4">
        <f>IF(OR(A468="",E468=""),"",IF(MAXIFS($E$2:$E$1001,$A$2:$A$1001,A468,$E$2:$E$1001,"&lt;"&amp;E468)=0,"",SUMIFS($G$2:$G$1001,$A$2:$A$1001,A468,$E$2:$E$1001,MAXIFS($E$2:$E$1001,$A$2:$A$1001,A468,$E$2:$E$1001,"&lt;"&amp;E468))))</f>
        <v/>
      </c>
      <c r="R468" s="9">
        <f>IF(OR(Q468="",G468=""),"",G468-Q468)</f>
        <v/>
      </c>
      <c r="S468" s="9">
        <f>IF(R468="","",SUMIFS($R$2:$R$1001,$A$2:$A$1001,A468,$E$2:$E$1001,"&lt;="&amp;E468))</f>
        <v/>
      </c>
      <c r="T468" s="5">
        <f>IF(A468="","",IF(R468="","initial",IF(ABS(R468)&lt;=ShiftThresholdDays,"unchanged",IF(R468&gt;0,"delayed","accelerated"))))</f>
        <v/>
      </c>
    </row>
    <row r="469">
      <c r="A469" s="2" t="n"/>
      <c r="B469" s="2" t="n"/>
      <c r="C469" s="2" t="n"/>
      <c r="D469" s="2" t="n"/>
      <c r="E469" s="2" t="n"/>
      <c r="F469" s="2" t="n"/>
      <c r="G469" s="3" t="n"/>
      <c r="H469" s="2" t="n"/>
      <c r="I469" s="3" t="n"/>
      <c r="J469" s="2" t="n"/>
      <c r="K469" s="2" t="n"/>
      <c r="L469" s="2" t="n"/>
      <c r="M469" s="2" t="n"/>
      <c r="N469" s="2" t="n"/>
      <c r="O469" s="2" t="n"/>
      <c r="P469" s="2" t="n"/>
      <c r="Q469" s="4">
        <f>IF(OR(A469="",E469=""),"",IF(MAXIFS($E$2:$E$1001,$A$2:$A$1001,A469,$E$2:$E$1001,"&lt;"&amp;E469)=0,"",SUMIFS($G$2:$G$1001,$A$2:$A$1001,A469,$E$2:$E$1001,MAXIFS($E$2:$E$1001,$A$2:$A$1001,A469,$E$2:$E$1001,"&lt;"&amp;E469))))</f>
        <v/>
      </c>
      <c r="R469" s="9">
        <f>IF(OR(Q469="",G469=""),"",G469-Q469)</f>
        <v/>
      </c>
      <c r="S469" s="9">
        <f>IF(R469="","",SUMIFS($R$2:$R$1001,$A$2:$A$1001,A469,$E$2:$E$1001,"&lt;="&amp;E469))</f>
        <v/>
      </c>
      <c r="T469" s="5">
        <f>IF(A469="","",IF(R469="","initial",IF(ABS(R469)&lt;=ShiftThresholdDays,"unchanged",IF(R469&gt;0,"delayed","accelerated"))))</f>
        <v/>
      </c>
    </row>
    <row r="470">
      <c r="A470" s="2" t="n"/>
      <c r="B470" s="2" t="n"/>
      <c r="C470" s="2" t="n"/>
      <c r="D470" s="2" t="n"/>
      <c r="E470" s="2" t="n"/>
      <c r="F470" s="2" t="n"/>
      <c r="G470" s="3" t="n"/>
      <c r="H470" s="2" t="n"/>
      <c r="I470" s="3" t="n"/>
      <c r="J470" s="2" t="n"/>
      <c r="K470" s="2" t="n"/>
      <c r="L470" s="2" t="n"/>
      <c r="M470" s="2" t="n"/>
      <c r="N470" s="2" t="n"/>
      <c r="O470" s="2" t="n"/>
      <c r="P470" s="2" t="n"/>
      <c r="Q470" s="4">
        <f>IF(OR(A470="",E470=""),"",IF(MAXIFS($E$2:$E$1001,$A$2:$A$1001,A470,$E$2:$E$1001,"&lt;"&amp;E470)=0,"",SUMIFS($G$2:$G$1001,$A$2:$A$1001,A470,$E$2:$E$1001,MAXIFS($E$2:$E$1001,$A$2:$A$1001,A470,$E$2:$E$1001,"&lt;"&amp;E470))))</f>
        <v/>
      </c>
      <c r="R470" s="9">
        <f>IF(OR(Q470="",G470=""),"",G470-Q470)</f>
        <v/>
      </c>
      <c r="S470" s="9">
        <f>IF(R470="","",SUMIFS($R$2:$R$1001,$A$2:$A$1001,A470,$E$2:$E$1001,"&lt;="&amp;E470))</f>
        <v/>
      </c>
      <c r="T470" s="5">
        <f>IF(A470="","",IF(R470="","initial",IF(ABS(R470)&lt;=ShiftThresholdDays,"unchanged",IF(R470&gt;0,"delayed","accelerated"))))</f>
        <v/>
      </c>
    </row>
    <row r="471">
      <c r="A471" s="2" t="n"/>
      <c r="B471" s="2" t="n"/>
      <c r="C471" s="2" t="n"/>
      <c r="D471" s="2" t="n"/>
      <c r="E471" s="2" t="n"/>
      <c r="F471" s="2" t="n"/>
      <c r="G471" s="3" t="n"/>
      <c r="H471" s="2" t="n"/>
      <c r="I471" s="3" t="n"/>
      <c r="J471" s="2" t="n"/>
      <c r="K471" s="2" t="n"/>
      <c r="L471" s="2" t="n"/>
      <c r="M471" s="2" t="n"/>
      <c r="N471" s="2" t="n"/>
      <c r="O471" s="2" t="n"/>
      <c r="P471" s="2" t="n"/>
      <c r="Q471" s="4">
        <f>IF(OR(A471="",E471=""),"",IF(MAXIFS($E$2:$E$1001,$A$2:$A$1001,A471,$E$2:$E$1001,"&lt;"&amp;E471)=0,"",SUMIFS($G$2:$G$1001,$A$2:$A$1001,A471,$E$2:$E$1001,MAXIFS($E$2:$E$1001,$A$2:$A$1001,A471,$E$2:$E$1001,"&lt;"&amp;E471))))</f>
        <v/>
      </c>
      <c r="R471" s="9">
        <f>IF(OR(Q471="",G471=""),"",G471-Q471)</f>
        <v/>
      </c>
      <c r="S471" s="9">
        <f>IF(R471="","",SUMIFS($R$2:$R$1001,$A$2:$A$1001,A471,$E$2:$E$1001,"&lt;="&amp;E471))</f>
        <v/>
      </c>
      <c r="T471" s="5">
        <f>IF(A471="","",IF(R471="","initial",IF(ABS(R471)&lt;=ShiftThresholdDays,"unchanged",IF(R471&gt;0,"delayed","accelerated"))))</f>
        <v/>
      </c>
    </row>
    <row r="472">
      <c r="A472" s="2" t="n"/>
      <c r="B472" s="2" t="n"/>
      <c r="C472" s="2" t="n"/>
      <c r="D472" s="2" t="n"/>
      <c r="E472" s="2" t="n"/>
      <c r="F472" s="2" t="n"/>
      <c r="G472" s="3" t="n"/>
      <c r="H472" s="2" t="n"/>
      <c r="I472" s="3" t="n"/>
      <c r="J472" s="2" t="n"/>
      <c r="K472" s="2" t="n"/>
      <c r="L472" s="2" t="n"/>
      <c r="M472" s="2" t="n"/>
      <c r="N472" s="2" t="n"/>
      <c r="O472" s="2" t="n"/>
      <c r="P472" s="2" t="n"/>
      <c r="Q472" s="4">
        <f>IF(OR(A472="",E472=""),"",IF(MAXIFS($E$2:$E$1001,$A$2:$A$1001,A472,$E$2:$E$1001,"&lt;"&amp;E472)=0,"",SUMIFS($G$2:$G$1001,$A$2:$A$1001,A472,$E$2:$E$1001,MAXIFS($E$2:$E$1001,$A$2:$A$1001,A472,$E$2:$E$1001,"&lt;"&amp;E472))))</f>
        <v/>
      </c>
      <c r="R472" s="9">
        <f>IF(OR(Q472="",G472=""),"",G472-Q472)</f>
        <v/>
      </c>
      <c r="S472" s="9">
        <f>IF(R472="","",SUMIFS($R$2:$R$1001,$A$2:$A$1001,A472,$E$2:$E$1001,"&lt;="&amp;E472))</f>
        <v/>
      </c>
      <c r="T472" s="5">
        <f>IF(A472="","",IF(R472="","initial",IF(ABS(R472)&lt;=ShiftThresholdDays,"unchanged",IF(R472&gt;0,"delayed","accelerated"))))</f>
        <v/>
      </c>
    </row>
    <row r="473">
      <c r="A473" s="2" t="n"/>
      <c r="B473" s="2" t="n"/>
      <c r="C473" s="2" t="n"/>
      <c r="D473" s="2" t="n"/>
      <c r="E473" s="2" t="n"/>
      <c r="F473" s="2" t="n"/>
      <c r="G473" s="3" t="n"/>
      <c r="H473" s="2" t="n"/>
      <c r="I473" s="3" t="n"/>
      <c r="J473" s="2" t="n"/>
      <c r="K473" s="2" t="n"/>
      <c r="L473" s="2" t="n"/>
      <c r="M473" s="2" t="n"/>
      <c r="N473" s="2" t="n"/>
      <c r="O473" s="2" t="n"/>
      <c r="P473" s="2" t="n"/>
      <c r="Q473" s="4">
        <f>IF(OR(A473="",E473=""),"",IF(MAXIFS($E$2:$E$1001,$A$2:$A$1001,A473,$E$2:$E$1001,"&lt;"&amp;E473)=0,"",SUMIFS($G$2:$G$1001,$A$2:$A$1001,A473,$E$2:$E$1001,MAXIFS($E$2:$E$1001,$A$2:$A$1001,A473,$E$2:$E$1001,"&lt;"&amp;E473))))</f>
        <v/>
      </c>
      <c r="R473" s="9">
        <f>IF(OR(Q473="",G473=""),"",G473-Q473)</f>
        <v/>
      </c>
      <c r="S473" s="9">
        <f>IF(R473="","",SUMIFS($R$2:$R$1001,$A$2:$A$1001,A473,$E$2:$E$1001,"&lt;="&amp;E473))</f>
        <v/>
      </c>
      <c r="T473" s="5">
        <f>IF(A473="","",IF(R473="","initial",IF(ABS(R473)&lt;=ShiftThresholdDays,"unchanged",IF(R473&gt;0,"delayed","accelerated"))))</f>
        <v/>
      </c>
    </row>
    <row r="474">
      <c r="A474" s="2" t="n"/>
      <c r="B474" s="2" t="n"/>
      <c r="C474" s="2" t="n"/>
      <c r="D474" s="2" t="n"/>
      <c r="E474" s="2" t="n"/>
      <c r="F474" s="2" t="n"/>
      <c r="G474" s="3" t="n"/>
      <c r="H474" s="2" t="n"/>
      <c r="I474" s="3" t="n"/>
      <c r="J474" s="2" t="n"/>
      <c r="K474" s="2" t="n"/>
      <c r="L474" s="2" t="n"/>
      <c r="M474" s="2" t="n"/>
      <c r="N474" s="2" t="n"/>
      <c r="O474" s="2" t="n"/>
      <c r="P474" s="2" t="n"/>
      <c r="Q474" s="4">
        <f>IF(OR(A474="",E474=""),"",IF(MAXIFS($E$2:$E$1001,$A$2:$A$1001,A474,$E$2:$E$1001,"&lt;"&amp;E474)=0,"",SUMIFS($G$2:$G$1001,$A$2:$A$1001,A474,$E$2:$E$1001,MAXIFS($E$2:$E$1001,$A$2:$A$1001,A474,$E$2:$E$1001,"&lt;"&amp;E474))))</f>
        <v/>
      </c>
      <c r="R474" s="9">
        <f>IF(OR(Q474="",G474=""),"",G474-Q474)</f>
        <v/>
      </c>
      <c r="S474" s="9">
        <f>IF(R474="","",SUMIFS($R$2:$R$1001,$A$2:$A$1001,A474,$E$2:$E$1001,"&lt;="&amp;E474))</f>
        <v/>
      </c>
      <c r="T474" s="5">
        <f>IF(A474="","",IF(R474="","initial",IF(ABS(R474)&lt;=ShiftThresholdDays,"unchanged",IF(R474&gt;0,"delayed","accelerated"))))</f>
        <v/>
      </c>
    </row>
    <row r="475">
      <c r="A475" s="2" t="n"/>
      <c r="B475" s="2" t="n"/>
      <c r="C475" s="2" t="n"/>
      <c r="D475" s="2" t="n"/>
      <c r="E475" s="2" t="n"/>
      <c r="F475" s="2" t="n"/>
      <c r="G475" s="3" t="n"/>
      <c r="H475" s="2" t="n"/>
      <c r="I475" s="3" t="n"/>
      <c r="J475" s="2" t="n"/>
      <c r="K475" s="2" t="n"/>
      <c r="L475" s="2" t="n"/>
      <c r="M475" s="2" t="n"/>
      <c r="N475" s="2" t="n"/>
      <c r="O475" s="2" t="n"/>
      <c r="P475" s="2" t="n"/>
      <c r="Q475" s="4">
        <f>IF(OR(A475="",E475=""),"",IF(MAXIFS($E$2:$E$1001,$A$2:$A$1001,A475,$E$2:$E$1001,"&lt;"&amp;E475)=0,"",SUMIFS($G$2:$G$1001,$A$2:$A$1001,A475,$E$2:$E$1001,MAXIFS($E$2:$E$1001,$A$2:$A$1001,A475,$E$2:$E$1001,"&lt;"&amp;E475))))</f>
        <v/>
      </c>
      <c r="R475" s="9">
        <f>IF(OR(Q475="",G475=""),"",G475-Q475)</f>
        <v/>
      </c>
      <c r="S475" s="9">
        <f>IF(R475="","",SUMIFS($R$2:$R$1001,$A$2:$A$1001,A475,$E$2:$E$1001,"&lt;="&amp;E475))</f>
        <v/>
      </c>
      <c r="T475" s="5">
        <f>IF(A475="","",IF(R475="","initial",IF(ABS(R475)&lt;=ShiftThresholdDays,"unchanged",IF(R475&gt;0,"delayed","accelerated"))))</f>
        <v/>
      </c>
    </row>
    <row r="476">
      <c r="A476" s="2" t="n"/>
      <c r="B476" s="2" t="n"/>
      <c r="C476" s="2" t="n"/>
      <c r="D476" s="2" t="n"/>
      <c r="E476" s="2" t="n"/>
      <c r="F476" s="2" t="n"/>
      <c r="G476" s="3" t="n"/>
      <c r="H476" s="2" t="n"/>
      <c r="I476" s="3" t="n"/>
      <c r="J476" s="2" t="n"/>
      <c r="K476" s="2" t="n"/>
      <c r="L476" s="2" t="n"/>
      <c r="M476" s="2" t="n"/>
      <c r="N476" s="2" t="n"/>
      <c r="O476" s="2" t="n"/>
      <c r="P476" s="2" t="n"/>
      <c r="Q476" s="4">
        <f>IF(OR(A476="",E476=""),"",IF(MAXIFS($E$2:$E$1001,$A$2:$A$1001,A476,$E$2:$E$1001,"&lt;"&amp;E476)=0,"",SUMIFS($G$2:$G$1001,$A$2:$A$1001,A476,$E$2:$E$1001,MAXIFS($E$2:$E$1001,$A$2:$A$1001,A476,$E$2:$E$1001,"&lt;"&amp;E476))))</f>
        <v/>
      </c>
      <c r="R476" s="9">
        <f>IF(OR(Q476="",G476=""),"",G476-Q476)</f>
        <v/>
      </c>
      <c r="S476" s="9">
        <f>IF(R476="","",SUMIFS($R$2:$R$1001,$A$2:$A$1001,A476,$E$2:$E$1001,"&lt;="&amp;E476))</f>
        <v/>
      </c>
      <c r="T476" s="5">
        <f>IF(A476="","",IF(R476="","initial",IF(ABS(R476)&lt;=ShiftThresholdDays,"unchanged",IF(R476&gt;0,"delayed","accelerated"))))</f>
        <v/>
      </c>
    </row>
    <row r="477">
      <c r="A477" s="2" t="n"/>
      <c r="B477" s="2" t="n"/>
      <c r="C477" s="2" t="n"/>
      <c r="D477" s="2" t="n"/>
      <c r="E477" s="2" t="n"/>
      <c r="F477" s="2" t="n"/>
      <c r="G477" s="3" t="n"/>
      <c r="H477" s="2" t="n"/>
      <c r="I477" s="3" t="n"/>
      <c r="J477" s="2" t="n"/>
      <c r="K477" s="2" t="n"/>
      <c r="L477" s="2" t="n"/>
      <c r="M477" s="2" t="n"/>
      <c r="N477" s="2" t="n"/>
      <c r="O477" s="2" t="n"/>
      <c r="P477" s="2" t="n"/>
      <c r="Q477" s="4">
        <f>IF(OR(A477="",E477=""),"",IF(MAXIFS($E$2:$E$1001,$A$2:$A$1001,A477,$E$2:$E$1001,"&lt;"&amp;E477)=0,"",SUMIFS($G$2:$G$1001,$A$2:$A$1001,A477,$E$2:$E$1001,MAXIFS($E$2:$E$1001,$A$2:$A$1001,A477,$E$2:$E$1001,"&lt;"&amp;E477))))</f>
        <v/>
      </c>
      <c r="R477" s="9">
        <f>IF(OR(Q477="",G477=""),"",G477-Q477)</f>
        <v/>
      </c>
      <c r="S477" s="9">
        <f>IF(R477="","",SUMIFS($R$2:$R$1001,$A$2:$A$1001,A477,$E$2:$E$1001,"&lt;="&amp;E477))</f>
        <v/>
      </c>
      <c r="T477" s="5">
        <f>IF(A477="","",IF(R477="","initial",IF(ABS(R477)&lt;=ShiftThresholdDays,"unchanged",IF(R477&gt;0,"delayed","accelerated"))))</f>
        <v/>
      </c>
    </row>
    <row r="478">
      <c r="A478" s="2" t="n"/>
      <c r="B478" s="2" t="n"/>
      <c r="C478" s="2" t="n"/>
      <c r="D478" s="2" t="n"/>
      <c r="E478" s="2" t="n"/>
      <c r="F478" s="2" t="n"/>
      <c r="G478" s="3" t="n"/>
      <c r="H478" s="2" t="n"/>
      <c r="I478" s="3" t="n"/>
      <c r="J478" s="2" t="n"/>
      <c r="K478" s="2" t="n"/>
      <c r="L478" s="2" t="n"/>
      <c r="M478" s="2" t="n"/>
      <c r="N478" s="2" t="n"/>
      <c r="O478" s="2" t="n"/>
      <c r="P478" s="2" t="n"/>
      <c r="Q478" s="4">
        <f>IF(OR(A478="",E478=""),"",IF(MAXIFS($E$2:$E$1001,$A$2:$A$1001,A478,$E$2:$E$1001,"&lt;"&amp;E478)=0,"",SUMIFS($G$2:$G$1001,$A$2:$A$1001,A478,$E$2:$E$1001,MAXIFS($E$2:$E$1001,$A$2:$A$1001,A478,$E$2:$E$1001,"&lt;"&amp;E478))))</f>
        <v/>
      </c>
      <c r="R478" s="9">
        <f>IF(OR(Q478="",G478=""),"",G478-Q478)</f>
        <v/>
      </c>
      <c r="S478" s="9">
        <f>IF(R478="","",SUMIFS($R$2:$R$1001,$A$2:$A$1001,A478,$E$2:$E$1001,"&lt;="&amp;E478))</f>
        <v/>
      </c>
      <c r="T478" s="5">
        <f>IF(A478="","",IF(R478="","initial",IF(ABS(R478)&lt;=ShiftThresholdDays,"unchanged",IF(R478&gt;0,"delayed","accelerated"))))</f>
        <v/>
      </c>
    </row>
    <row r="479">
      <c r="A479" s="2" t="n"/>
      <c r="B479" s="2" t="n"/>
      <c r="C479" s="2" t="n"/>
      <c r="D479" s="2" t="n"/>
      <c r="E479" s="2" t="n"/>
      <c r="F479" s="2" t="n"/>
      <c r="G479" s="3" t="n"/>
      <c r="H479" s="2" t="n"/>
      <c r="I479" s="3" t="n"/>
      <c r="J479" s="2" t="n"/>
      <c r="K479" s="2" t="n"/>
      <c r="L479" s="2" t="n"/>
      <c r="M479" s="2" t="n"/>
      <c r="N479" s="2" t="n"/>
      <c r="O479" s="2" t="n"/>
      <c r="P479" s="2" t="n"/>
      <c r="Q479" s="4">
        <f>IF(OR(A479="",E479=""),"",IF(MAXIFS($E$2:$E$1001,$A$2:$A$1001,A479,$E$2:$E$1001,"&lt;"&amp;E479)=0,"",SUMIFS($G$2:$G$1001,$A$2:$A$1001,A479,$E$2:$E$1001,MAXIFS($E$2:$E$1001,$A$2:$A$1001,A479,$E$2:$E$1001,"&lt;"&amp;E479))))</f>
        <v/>
      </c>
      <c r="R479" s="9">
        <f>IF(OR(Q479="",G479=""),"",G479-Q479)</f>
        <v/>
      </c>
      <c r="S479" s="9">
        <f>IF(R479="","",SUMIFS($R$2:$R$1001,$A$2:$A$1001,A479,$E$2:$E$1001,"&lt;="&amp;E479))</f>
        <v/>
      </c>
      <c r="T479" s="5">
        <f>IF(A479="","",IF(R479="","initial",IF(ABS(R479)&lt;=ShiftThresholdDays,"unchanged",IF(R479&gt;0,"delayed","accelerated"))))</f>
        <v/>
      </c>
    </row>
    <row r="480">
      <c r="A480" s="2" t="n"/>
      <c r="B480" s="2" t="n"/>
      <c r="C480" s="2" t="n"/>
      <c r="D480" s="2" t="n"/>
      <c r="E480" s="2" t="n"/>
      <c r="F480" s="2" t="n"/>
      <c r="G480" s="3" t="n"/>
      <c r="H480" s="2" t="n"/>
      <c r="I480" s="3" t="n"/>
      <c r="J480" s="2" t="n"/>
      <c r="K480" s="2" t="n"/>
      <c r="L480" s="2" t="n"/>
      <c r="M480" s="2" t="n"/>
      <c r="N480" s="2" t="n"/>
      <c r="O480" s="2" t="n"/>
      <c r="P480" s="2" t="n"/>
      <c r="Q480" s="4">
        <f>IF(OR(A480="",E480=""),"",IF(MAXIFS($E$2:$E$1001,$A$2:$A$1001,A480,$E$2:$E$1001,"&lt;"&amp;E480)=0,"",SUMIFS($G$2:$G$1001,$A$2:$A$1001,A480,$E$2:$E$1001,MAXIFS($E$2:$E$1001,$A$2:$A$1001,A480,$E$2:$E$1001,"&lt;"&amp;E480))))</f>
        <v/>
      </c>
      <c r="R480" s="9">
        <f>IF(OR(Q480="",G480=""),"",G480-Q480)</f>
        <v/>
      </c>
      <c r="S480" s="9">
        <f>IF(R480="","",SUMIFS($R$2:$R$1001,$A$2:$A$1001,A480,$E$2:$E$1001,"&lt;="&amp;E480))</f>
        <v/>
      </c>
      <c r="T480" s="5">
        <f>IF(A480="","",IF(R480="","initial",IF(ABS(R480)&lt;=ShiftThresholdDays,"unchanged",IF(R480&gt;0,"delayed","accelerated"))))</f>
        <v/>
      </c>
    </row>
    <row r="481">
      <c r="A481" s="2" t="n"/>
      <c r="B481" s="2" t="n"/>
      <c r="C481" s="2" t="n"/>
      <c r="D481" s="2" t="n"/>
      <c r="E481" s="2" t="n"/>
      <c r="F481" s="2" t="n"/>
      <c r="G481" s="3" t="n"/>
      <c r="H481" s="2" t="n"/>
      <c r="I481" s="3" t="n"/>
      <c r="J481" s="2" t="n"/>
      <c r="K481" s="2" t="n"/>
      <c r="L481" s="2" t="n"/>
      <c r="M481" s="2" t="n"/>
      <c r="N481" s="2" t="n"/>
      <c r="O481" s="2" t="n"/>
      <c r="P481" s="2" t="n"/>
      <c r="Q481" s="4">
        <f>IF(OR(A481="",E481=""),"",IF(MAXIFS($E$2:$E$1001,$A$2:$A$1001,A481,$E$2:$E$1001,"&lt;"&amp;E481)=0,"",SUMIFS($G$2:$G$1001,$A$2:$A$1001,A481,$E$2:$E$1001,MAXIFS($E$2:$E$1001,$A$2:$A$1001,A481,$E$2:$E$1001,"&lt;"&amp;E481))))</f>
        <v/>
      </c>
      <c r="R481" s="9">
        <f>IF(OR(Q481="",G481=""),"",G481-Q481)</f>
        <v/>
      </c>
      <c r="S481" s="9">
        <f>IF(R481="","",SUMIFS($R$2:$R$1001,$A$2:$A$1001,A481,$E$2:$E$1001,"&lt;="&amp;E481))</f>
        <v/>
      </c>
      <c r="T481" s="5">
        <f>IF(A481="","",IF(R481="","initial",IF(ABS(R481)&lt;=ShiftThresholdDays,"unchanged",IF(R481&gt;0,"delayed","accelerated"))))</f>
        <v/>
      </c>
    </row>
    <row r="482">
      <c r="A482" s="2" t="n"/>
      <c r="B482" s="2" t="n"/>
      <c r="C482" s="2" t="n"/>
      <c r="D482" s="2" t="n"/>
      <c r="E482" s="2" t="n"/>
      <c r="F482" s="2" t="n"/>
      <c r="G482" s="3" t="n"/>
      <c r="H482" s="2" t="n"/>
      <c r="I482" s="3" t="n"/>
      <c r="J482" s="2" t="n"/>
      <c r="K482" s="2" t="n"/>
      <c r="L482" s="2" t="n"/>
      <c r="M482" s="2" t="n"/>
      <c r="N482" s="2" t="n"/>
      <c r="O482" s="2" t="n"/>
      <c r="P482" s="2" t="n"/>
      <c r="Q482" s="4">
        <f>IF(OR(A482="",E482=""),"",IF(MAXIFS($E$2:$E$1001,$A$2:$A$1001,A482,$E$2:$E$1001,"&lt;"&amp;E482)=0,"",SUMIFS($G$2:$G$1001,$A$2:$A$1001,A482,$E$2:$E$1001,MAXIFS($E$2:$E$1001,$A$2:$A$1001,A482,$E$2:$E$1001,"&lt;"&amp;E482))))</f>
        <v/>
      </c>
      <c r="R482" s="9">
        <f>IF(OR(Q482="",G482=""),"",G482-Q482)</f>
        <v/>
      </c>
      <c r="S482" s="9">
        <f>IF(R482="","",SUMIFS($R$2:$R$1001,$A$2:$A$1001,A482,$E$2:$E$1001,"&lt;="&amp;E482))</f>
        <v/>
      </c>
      <c r="T482" s="5">
        <f>IF(A482="","",IF(R482="","initial",IF(ABS(R482)&lt;=ShiftThresholdDays,"unchanged",IF(R482&gt;0,"delayed","accelerated"))))</f>
        <v/>
      </c>
    </row>
    <row r="483">
      <c r="A483" s="2" t="n"/>
      <c r="B483" s="2" t="n"/>
      <c r="C483" s="2" t="n"/>
      <c r="D483" s="2" t="n"/>
      <c r="E483" s="2" t="n"/>
      <c r="F483" s="2" t="n"/>
      <c r="G483" s="3" t="n"/>
      <c r="H483" s="2" t="n"/>
      <c r="I483" s="3" t="n"/>
      <c r="J483" s="2" t="n"/>
      <c r="K483" s="2" t="n"/>
      <c r="L483" s="2" t="n"/>
      <c r="M483" s="2" t="n"/>
      <c r="N483" s="2" t="n"/>
      <c r="O483" s="2" t="n"/>
      <c r="P483" s="2" t="n"/>
      <c r="Q483" s="4">
        <f>IF(OR(A483="",E483=""),"",IF(MAXIFS($E$2:$E$1001,$A$2:$A$1001,A483,$E$2:$E$1001,"&lt;"&amp;E483)=0,"",SUMIFS($G$2:$G$1001,$A$2:$A$1001,A483,$E$2:$E$1001,MAXIFS($E$2:$E$1001,$A$2:$A$1001,A483,$E$2:$E$1001,"&lt;"&amp;E483))))</f>
        <v/>
      </c>
      <c r="R483" s="9">
        <f>IF(OR(Q483="",G483=""),"",G483-Q483)</f>
        <v/>
      </c>
      <c r="S483" s="9">
        <f>IF(R483="","",SUMIFS($R$2:$R$1001,$A$2:$A$1001,A483,$E$2:$E$1001,"&lt;="&amp;E483))</f>
        <v/>
      </c>
      <c r="T483" s="5">
        <f>IF(A483="","",IF(R483="","initial",IF(ABS(R483)&lt;=ShiftThresholdDays,"unchanged",IF(R483&gt;0,"delayed","accelerated"))))</f>
        <v/>
      </c>
    </row>
    <row r="484">
      <c r="A484" s="2" t="n"/>
      <c r="B484" s="2" t="n"/>
      <c r="C484" s="2" t="n"/>
      <c r="D484" s="2" t="n"/>
      <c r="E484" s="2" t="n"/>
      <c r="F484" s="2" t="n"/>
      <c r="G484" s="3" t="n"/>
      <c r="H484" s="2" t="n"/>
      <c r="I484" s="3" t="n"/>
      <c r="J484" s="2" t="n"/>
      <c r="K484" s="2" t="n"/>
      <c r="L484" s="2" t="n"/>
      <c r="M484" s="2" t="n"/>
      <c r="N484" s="2" t="n"/>
      <c r="O484" s="2" t="n"/>
      <c r="P484" s="2" t="n"/>
      <c r="Q484" s="4">
        <f>IF(OR(A484="",E484=""),"",IF(MAXIFS($E$2:$E$1001,$A$2:$A$1001,A484,$E$2:$E$1001,"&lt;"&amp;E484)=0,"",SUMIFS($G$2:$G$1001,$A$2:$A$1001,A484,$E$2:$E$1001,MAXIFS($E$2:$E$1001,$A$2:$A$1001,A484,$E$2:$E$1001,"&lt;"&amp;E484))))</f>
        <v/>
      </c>
      <c r="R484" s="9">
        <f>IF(OR(Q484="",G484=""),"",G484-Q484)</f>
        <v/>
      </c>
      <c r="S484" s="9">
        <f>IF(R484="","",SUMIFS($R$2:$R$1001,$A$2:$A$1001,A484,$E$2:$E$1001,"&lt;="&amp;E484))</f>
        <v/>
      </c>
      <c r="T484" s="5">
        <f>IF(A484="","",IF(R484="","initial",IF(ABS(R484)&lt;=ShiftThresholdDays,"unchanged",IF(R484&gt;0,"delayed","accelerated"))))</f>
        <v/>
      </c>
    </row>
    <row r="485">
      <c r="A485" s="2" t="n"/>
      <c r="B485" s="2" t="n"/>
      <c r="C485" s="2" t="n"/>
      <c r="D485" s="2" t="n"/>
      <c r="E485" s="2" t="n"/>
      <c r="F485" s="2" t="n"/>
      <c r="G485" s="3" t="n"/>
      <c r="H485" s="2" t="n"/>
      <c r="I485" s="3" t="n"/>
      <c r="J485" s="2" t="n"/>
      <c r="K485" s="2" t="n"/>
      <c r="L485" s="2" t="n"/>
      <c r="M485" s="2" t="n"/>
      <c r="N485" s="2" t="n"/>
      <c r="O485" s="2" t="n"/>
      <c r="P485" s="2" t="n"/>
      <c r="Q485" s="4">
        <f>IF(OR(A485="",E485=""),"",IF(MAXIFS($E$2:$E$1001,$A$2:$A$1001,A485,$E$2:$E$1001,"&lt;"&amp;E485)=0,"",SUMIFS($G$2:$G$1001,$A$2:$A$1001,A485,$E$2:$E$1001,MAXIFS($E$2:$E$1001,$A$2:$A$1001,A485,$E$2:$E$1001,"&lt;"&amp;E485))))</f>
        <v/>
      </c>
      <c r="R485" s="9">
        <f>IF(OR(Q485="",G485=""),"",G485-Q485)</f>
        <v/>
      </c>
      <c r="S485" s="9">
        <f>IF(R485="","",SUMIFS($R$2:$R$1001,$A$2:$A$1001,A485,$E$2:$E$1001,"&lt;="&amp;E485))</f>
        <v/>
      </c>
      <c r="T485" s="5">
        <f>IF(A485="","",IF(R485="","initial",IF(ABS(R485)&lt;=ShiftThresholdDays,"unchanged",IF(R485&gt;0,"delayed","accelerated"))))</f>
        <v/>
      </c>
    </row>
    <row r="486">
      <c r="A486" s="2" t="n"/>
      <c r="B486" s="2" t="n"/>
      <c r="C486" s="2" t="n"/>
      <c r="D486" s="2" t="n"/>
      <c r="E486" s="2" t="n"/>
      <c r="F486" s="2" t="n"/>
      <c r="G486" s="3" t="n"/>
      <c r="H486" s="2" t="n"/>
      <c r="I486" s="3" t="n"/>
      <c r="J486" s="2" t="n"/>
      <c r="K486" s="2" t="n"/>
      <c r="L486" s="2" t="n"/>
      <c r="M486" s="2" t="n"/>
      <c r="N486" s="2" t="n"/>
      <c r="O486" s="2" t="n"/>
      <c r="P486" s="2" t="n"/>
      <c r="Q486" s="4">
        <f>IF(OR(A486="",E486=""),"",IF(MAXIFS($E$2:$E$1001,$A$2:$A$1001,A486,$E$2:$E$1001,"&lt;"&amp;E486)=0,"",SUMIFS($G$2:$G$1001,$A$2:$A$1001,A486,$E$2:$E$1001,MAXIFS($E$2:$E$1001,$A$2:$A$1001,A486,$E$2:$E$1001,"&lt;"&amp;E486))))</f>
        <v/>
      </c>
      <c r="R486" s="9">
        <f>IF(OR(Q486="",G486=""),"",G486-Q486)</f>
        <v/>
      </c>
      <c r="S486" s="9">
        <f>IF(R486="","",SUMIFS($R$2:$R$1001,$A$2:$A$1001,A486,$E$2:$E$1001,"&lt;="&amp;E486))</f>
        <v/>
      </c>
      <c r="T486" s="5">
        <f>IF(A486="","",IF(R486="","initial",IF(ABS(R486)&lt;=ShiftThresholdDays,"unchanged",IF(R486&gt;0,"delayed","accelerated"))))</f>
        <v/>
      </c>
    </row>
    <row r="487">
      <c r="A487" s="2" t="n"/>
      <c r="B487" s="2" t="n"/>
      <c r="C487" s="2" t="n"/>
      <c r="D487" s="2" t="n"/>
      <c r="E487" s="2" t="n"/>
      <c r="F487" s="2" t="n"/>
      <c r="G487" s="3" t="n"/>
      <c r="H487" s="2" t="n"/>
      <c r="I487" s="3" t="n"/>
      <c r="J487" s="2" t="n"/>
      <c r="K487" s="2" t="n"/>
      <c r="L487" s="2" t="n"/>
      <c r="M487" s="2" t="n"/>
      <c r="N487" s="2" t="n"/>
      <c r="O487" s="2" t="n"/>
      <c r="P487" s="2" t="n"/>
      <c r="Q487" s="4">
        <f>IF(OR(A487="",E487=""),"",IF(MAXIFS($E$2:$E$1001,$A$2:$A$1001,A487,$E$2:$E$1001,"&lt;"&amp;E487)=0,"",SUMIFS($G$2:$G$1001,$A$2:$A$1001,A487,$E$2:$E$1001,MAXIFS($E$2:$E$1001,$A$2:$A$1001,A487,$E$2:$E$1001,"&lt;"&amp;E487))))</f>
        <v/>
      </c>
      <c r="R487" s="9">
        <f>IF(OR(Q487="",G487=""),"",G487-Q487)</f>
        <v/>
      </c>
      <c r="S487" s="9">
        <f>IF(R487="","",SUMIFS($R$2:$R$1001,$A$2:$A$1001,A487,$E$2:$E$1001,"&lt;="&amp;E487))</f>
        <v/>
      </c>
      <c r="T487" s="5">
        <f>IF(A487="","",IF(R487="","initial",IF(ABS(R487)&lt;=ShiftThresholdDays,"unchanged",IF(R487&gt;0,"delayed","accelerated"))))</f>
        <v/>
      </c>
    </row>
    <row r="488">
      <c r="A488" s="2" t="n"/>
      <c r="B488" s="2" t="n"/>
      <c r="C488" s="2" t="n"/>
      <c r="D488" s="2" t="n"/>
      <c r="E488" s="2" t="n"/>
      <c r="F488" s="2" t="n"/>
      <c r="G488" s="3" t="n"/>
      <c r="H488" s="2" t="n"/>
      <c r="I488" s="3" t="n"/>
      <c r="J488" s="2" t="n"/>
      <c r="K488" s="2" t="n"/>
      <c r="L488" s="2" t="n"/>
      <c r="M488" s="2" t="n"/>
      <c r="N488" s="2" t="n"/>
      <c r="O488" s="2" t="n"/>
      <c r="P488" s="2" t="n"/>
      <c r="Q488" s="4">
        <f>IF(OR(A488="",E488=""),"",IF(MAXIFS($E$2:$E$1001,$A$2:$A$1001,A488,$E$2:$E$1001,"&lt;"&amp;E488)=0,"",SUMIFS($G$2:$G$1001,$A$2:$A$1001,A488,$E$2:$E$1001,MAXIFS($E$2:$E$1001,$A$2:$A$1001,A488,$E$2:$E$1001,"&lt;"&amp;E488))))</f>
        <v/>
      </c>
      <c r="R488" s="9">
        <f>IF(OR(Q488="",G488=""),"",G488-Q488)</f>
        <v/>
      </c>
      <c r="S488" s="9">
        <f>IF(R488="","",SUMIFS($R$2:$R$1001,$A$2:$A$1001,A488,$E$2:$E$1001,"&lt;="&amp;E488))</f>
        <v/>
      </c>
      <c r="T488" s="5">
        <f>IF(A488="","",IF(R488="","initial",IF(ABS(R488)&lt;=ShiftThresholdDays,"unchanged",IF(R488&gt;0,"delayed","accelerated"))))</f>
        <v/>
      </c>
    </row>
    <row r="489">
      <c r="A489" s="2" t="n"/>
      <c r="B489" s="2" t="n"/>
      <c r="C489" s="2" t="n"/>
      <c r="D489" s="2" t="n"/>
      <c r="E489" s="2" t="n"/>
      <c r="F489" s="2" t="n"/>
      <c r="G489" s="3" t="n"/>
      <c r="H489" s="2" t="n"/>
      <c r="I489" s="3" t="n"/>
      <c r="J489" s="2" t="n"/>
      <c r="K489" s="2" t="n"/>
      <c r="L489" s="2" t="n"/>
      <c r="M489" s="2" t="n"/>
      <c r="N489" s="2" t="n"/>
      <c r="O489" s="2" t="n"/>
      <c r="P489" s="2" t="n"/>
      <c r="Q489" s="4">
        <f>IF(OR(A489="",E489=""),"",IF(MAXIFS($E$2:$E$1001,$A$2:$A$1001,A489,$E$2:$E$1001,"&lt;"&amp;E489)=0,"",SUMIFS($G$2:$G$1001,$A$2:$A$1001,A489,$E$2:$E$1001,MAXIFS($E$2:$E$1001,$A$2:$A$1001,A489,$E$2:$E$1001,"&lt;"&amp;E489))))</f>
        <v/>
      </c>
      <c r="R489" s="9">
        <f>IF(OR(Q489="",G489=""),"",G489-Q489)</f>
        <v/>
      </c>
      <c r="S489" s="9">
        <f>IF(R489="","",SUMIFS($R$2:$R$1001,$A$2:$A$1001,A489,$E$2:$E$1001,"&lt;="&amp;E489))</f>
        <v/>
      </c>
      <c r="T489" s="5">
        <f>IF(A489="","",IF(R489="","initial",IF(ABS(R489)&lt;=ShiftThresholdDays,"unchanged",IF(R489&gt;0,"delayed","accelerated"))))</f>
        <v/>
      </c>
    </row>
    <row r="490">
      <c r="A490" s="2" t="n"/>
      <c r="B490" s="2" t="n"/>
      <c r="C490" s="2" t="n"/>
      <c r="D490" s="2" t="n"/>
      <c r="E490" s="2" t="n"/>
      <c r="F490" s="2" t="n"/>
      <c r="G490" s="3" t="n"/>
      <c r="H490" s="2" t="n"/>
      <c r="I490" s="3" t="n"/>
      <c r="J490" s="2" t="n"/>
      <c r="K490" s="2" t="n"/>
      <c r="L490" s="2" t="n"/>
      <c r="M490" s="2" t="n"/>
      <c r="N490" s="2" t="n"/>
      <c r="O490" s="2" t="n"/>
      <c r="P490" s="2" t="n"/>
      <c r="Q490" s="4">
        <f>IF(OR(A490="",E490=""),"",IF(MAXIFS($E$2:$E$1001,$A$2:$A$1001,A490,$E$2:$E$1001,"&lt;"&amp;E490)=0,"",SUMIFS($G$2:$G$1001,$A$2:$A$1001,A490,$E$2:$E$1001,MAXIFS($E$2:$E$1001,$A$2:$A$1001,A490,$E$2:$E$1001,"&lt;"&amp;E490))))</f>
        <v/>
      </c>
      <c r="R490" s="9">
        <f>IF(OR(Q490="",G490=""),"",G490-Q490)</f>
        <v/>
      </c>
      <c r="S490" s="9">
        <f>IF(R490="","",SUMIFS($R$2:$R$1001,$A$2:$A$1001,A490,$E$2:$E$1001,"&lt;="&amp;E490))</f>
        <v/>
      </c>
      <c r="T490" s="5">
        <f>IF(A490="","",IF(R490="","initial",IF(ABS(R490)&lt;=ShiftThresholdDays,"unchanged",IF(R490&gt;0,"delayed","accelerated"))))</f>
        <v/>
      </c>
    </row>
    <row r="491">
      <c r="A491" s="2" t="n"/>
      <c r="B491" s="2" t="n"/>
      <c r="C491" s="2" t="n"/>
      <c r="D491" s="2" t="n"/>
      <c r="E491" s="2" t="n"/>
      <c r="F491" s="2" t="n"/>
      <c r="G491" s="3" t="n"/>
      <c r="H491" s="2" t="n"/>
      <c r="I491" s="3" t="n"/>
      <c r="J491" s="2" t="n"/>
      <c r="K491" s="2" t="n"/>
      <c r="L491" s="2" t="n"/>
      <c r="M491" s="2" t="n"/>
      <c r="N491" s="2" t="n"/>
      <c r="O491" s="2" t="n"/>
      <c r="P491" s="2" t="n"/>
      <c r="Q491" s="4">
        <f>IF(OR(A491="",E491=""),"",IF(MAXIFS($E$2:$E$1001,$A$2:$A$1001,A491,$E$2:$E$1001,"&lt;"&amp;E491)=0,"",SUMIFS($G$2:$G$1001,$A$2:$A$1001,A491,$E$2:$E$1001,MAXIFS($E$2:$E$1001,$A$2:$A$1001,A491,$E$2:$E$1001,"&lt;"&amp;E491))))</f>
        <v/>
      </c>
      <c r="R491" s="9">
        <f>IF(OR(Q491="",G491=""),"",G491-Q491)</f>
        <v/>
      </c>
      <c r="S491" s="9">
        <f>IF(R491="","",SUMIFS($R$2:$R$1001,$A$2:$A$1001,A491,$E$2:$E$1001,"&lt;="&amp;E491))</f>
        <v/>
      </c>
      <c r="T491" s="5">
        <f>IF(A491="","",IF(R491="","initial",IF(ABS(R491)&lt;=ShiftThresholdDays,"unchanged",IF(R491&gt;0,"delayed","accelerated"))))</f>
        <v/>
      </c>
    </row>
    <row r="492">
      <c r="A492" s="2" t="n"/>
      <c r="B492" s="2" t="n"/>
      <c r="C492" s="2" t="n"/>
      <c r="D492" s="2" t="n"/>
      <c r="E492" s="2" t="n"/>
      <c r="F492" s="2" t="n"/>
      <c r="G492" s="3" t="n"/>
      <c r="H492" s="2" t="n"/>
      <c r="I492" s="3" t="n"/>
      <c r="J492" s="2" t="n"/>
      <c r="K492" s="2" t="n"/>
      <c r="L492" s="2" t="n"/>
      <c r="M492" s="2" t="n"/>
      <c r="N492" s="2" t="n"/>
      <c r="O492" s="2" t="n"/>
      <c r="P492" s="2" t="n"/>
      <c r="Q492" s="4">
        <f>IF(OR(A492="",E492=""),"",IF(MAXIFS($E$2:$E$1001,$A$2:$A$1001,A492,$E$2:$E$1001,"&lt;"&amp;E492)=0,"",SUMIFS($G$2:$G$1001,$A$2:$A$1001,A492,$E$2:$E$1001,MAXIFS($E$2:$E$1001,$A$2:$A$1001,A492,$E$2:$E$1001,"&lt;"&amp;E492))))</f>
        <v/>
      </c>
      <c r="R492" s="9">
        <f>IF(OR(Q492="",G492=""),"",G492-Q492)</f>
        <v/>
      </c>
      <c r="S492" s="9">
        <f>IF(R492="","",SUMIFS($R$2:$R$1001,$A$2:$A$1001,A492,$E$2:$E$1001,"&lt;="&amp;E492))</f>
        <v/>
      </c>
      <c r="T492" s="5">
        <f>IF(A492="","",IF(R492="","initial",IF(ABS(R492)&lt;=ShiftThresholdDays,"unchanged",IF(R492&gt;0,"delayed","accelerated"))))</f>
        <v/>
      </c>
    </row>
    <row r="493">
      <c r="A493" s="2" t="n"/>
      <c r="B493" s="2" t="n"/>
      <c r="C493" s="2" t="n"/>
      <c r="D493" s="2" t="n"/>
      <c r="E493" s="2" t="n"/>
      <c r="F493" s="2" t="n"/>
      <c r="G493" s="3" t="n"/>
      <c r="H493" s="2" t="n"/>
      <c r="I493" s="3" t="n"/>
      <c r="J493" s="2" t="n"/>
      <c r="K493" s="2" t="n"/>
      <c r="L493" s="2" t="n"/>
      <c r="M493" s="2" t="n"/>
      <c r="N493" s="2" t="n"/>
      <c r="O493" s="2" t="n"/>
      <c r="P493" s="2" t="n"/>
      <c r="Q493" s="4">
        <f>IF(OR(A493="",E493=""),"",IF(MAXIFS($E$2:$E$1001,$A$2:$A$1001,A493,$E$2:$E$1001,"&lt;"&amp;E493)=0,"",SUMIFS($G$2:$G$1001,$A$2:$A$1001,A493,$E$2:$E$1001,MAXIFS($E$2:$E$1001,$A$2:$A$1001,A493,$E$2:$E$1001,"&lt;"&amp;E493))))</f>
        <v/>
      </c>
      <c r="R493" s="9">
        <f>IF(OR(Q493="",G493=""),"",G493-Q493)</f>
        <v/>
      </c>
      <c r="S493" s="9">
        <f>IF(R493="","",SUMIFS($R$2:$R$1001,$A$2:$A$1001,A493,$E$2:$E$1001,"&lt;="&amp;E493))</f>
        <v/>
      </c>
      <c r="T493" s="5">
        <f>IF(A493="","",IF(R493="","initial",IF(ABS(R493)&lt;=ShiftThresholdDays,"unchanged",IF(R493&gt;0,"delayed","accelerated"))))</f>
        <v/>
      </c>
    </row>
    <row r="494">
      <c r="A494" s="2" t="n"/>
      <c r="B494" s="2" t="n"/>
      <c r="C494" s="2" t="n"/>
      <c r="D494" s="2" t="n"/>
      <c r="E494" s="2" t="n"/>
      <c r="F494" s="2" t="n"/>
      <c r="G494" s="3" t="n"/>
      <c r="H494" s="2" t="n"/>
      <c r="I494" s="3" t="n"/>
      <c r="J494" s="2" t="n"/>
      <c r="K494" s="2" t="n"/>
      <c r="L494" s="2" t="n"/>
      <c r="M494" s="2" t="n"/>
      <c r="N494" s="2" t="n"/>
      <c r="O494" s="2" t="n"/>
      <c r="P494" s="2" t="n"/>
      <c r="Q494" s="4">
        <f>IF(OR(A494="",E494=""),"",IF(MAXIFS($E$2:$E$1001,$A$2:$A$1001,A494,$E$2:$E$1001,"&lt;"&amp;E494)=0,"",SUMIFS($G$2:$G$1001,$A$2:$A$1001,A494,$E$2:$E$1001,MAXIFS($E$2:$E$1001,$A$2:$A$1001,A494,$E$2:$E$1001,"&lt;"&amp;E494))))</f>
        <v/>
      </c>
      <c r="R494" s="9">
        <f>IF(OR(Q494="",G494=""),"",G494-Q494)</f>
        <v/>
      </c>
      <c r="S494" s="9">
        <f>IF(R494="","",SUMIFS($R$2:$R$1001,$A$2:$A$1001,A494,$E$2:$E$1001,"&lt;="&amp;E494))</f>
        <v/>
      </c>
      <c r="T494" s="5">
        <f>IF(A494="","",IF(R494="","initial",IF(ABS(R494)&lt;=ShiftThresholdDays,"unchanged",IF(R494&gt;0,"delayed","accelerated"))))</f>
        <v/>
      </c>
    </row>
    <row r="495">
      <c r="A495" s="2" t="n"/>
      <c r="B495" s="2" t="n"/>
      <c r="C495" s="2" t="n"/>
      <c r="D495" s="2" t="n"/>
      <c r="E495" s="2" t="n"/>
      <c r="F495" s="2" t="n"/>
      <c r="G495" s="3" t="n"/>
      <c r="H495" s="2" t="n"/>
      <c r="I495" s="3" t="n"/>
      <c r="J495" s="2" t="n"/>
      <c r="K495" s="2" t="n"/>
      <c r="L495" s="2" t="n"/>
      <c r="M495" s="2" t="n"/>
      <c r="N495" s="2" t="n"/>
      <c r="O495" s="2" t="n"/>
      <c r="P495" s="2" t="n"/>
      <c r="Q495" s="4">
        <f>IF(OR(A495="",E495=""),"",IF(MAXIFS($E$2:$E$1001,$A$2:$A$1001,A495,$E$2:$E$1001,"&lt;"&amp;E495)=0,"",SUMIFS($G$2:$G$1001,$A$2:$A$1001,A495,$E$2:$E$1001,MAXIFS($E$2:$E$1001,$A$2:$A$1001,A495,$E$2:$E$1001,"&lt;"&amp;E495))))</f>
        <v/>
      </c>
      <c r="R495" s="9">
        <f>IF(OR(Q495="",G495=""),"",G495-Q495)</f>
        <v/>
      </c>
      <c r="S495" s="9">
        <f>IF(R495="","",SUMIFS($R$2:$R$1001,$A$2:$A$1001,A495,$E$2:$E$1001,"&lt;="&amp;E495))</f>
        <v/>
      </c>
      <c r="T495" s="5">
        <f>IF(A495="","",IF(R495="","initial",IF(ABS(R495)&lt;=ShiftThresholdDays,"unchanged",IF(R495&gt;0,"delayed","accelerated"))))</f>
        <v/>
      </c>
    </row>
    <row r="496">
      <c r="A496" s="2" t="n"/>
      <c r="B496" s="2" t="n"/>
      <c r="C496" s="2" t="n"/>
      <c r="D496" s="2" t="n"/>
      <c r="E496" s="2" t="n"/>
      <c r="F496" s="2" t="n"/>
      <c r="G496" s="3" t="n"/>
      <c r="H496" s="2" t="n"/>
      <c r="I496" s="3" t="n"/>
      <c r="J496" s="2" t="n"/>
      <c r="K496" s="2" t="n"/>
      <c r="L496" s="2" t="n"/>
      <c r="M496" s="2" t="n"/>
      <c r="N496" s="2" t="n"/>
      <c r="O496" s="2" t="n"/>
      <c r="P496" s="2" t="n"/>
      <c r="Q496" s="4">
        <f>IF(OR(A496="",E496=""),"",IF(MAXIFS($E$2:$E$1001,$A$2:$A$1001,A496,$E$2:$E$1001,"&lt;"&amp;E496)=0,"",SUMIFS($G$2:$G$1001,$A$2:$A$1001,A496,$E$2:$E$1001,MAXIFS($E$2:$E$1001,$A$2:$A$1001,A496,$E$2:$E$1001,"&lt;"&amp;E496))))</f>
        <v/>
      </c>
      <c r="R496" s="9">
        <f>IF(OR(Q496="",G496=""),"",G496-Q496)</f>
        <v/>
      </c>
      <c r="S496" s="9">
        <f>IF(R496="","",SUMIFS($R$2:$R$1001,$A$2:$A$1001,A496,$E$2:$E$1001,"&lt;="&amp;E496))</f>
        <v/>
      </c>
      <c r="T496" s="5">
        <f>IF(A496="","",IF(R496="","initial",IF(ABS(R496)&lt;=ShiftThresholdDays,"unchanged",IF(R496&gt;0,"delayed","accelerated"))))</f>
        <v/>
      </c>
    </row>
    <row r="497">
      <c r="A497" s="2" t="n"/>
      <c r="B497" s="2" t="n"/>
      <c r="C497" s="2" t="n"/>
      <c r="D497" s="2" t="n"/>
      <c r="E497" s="2" t="n"/>
      <c r="F497" s="2" t="n"/>
      <c r="G497" s="3" t="n"/>
      <c r="H497" s="2" t="n"/>
      <c r="I497" s="3" t="n"/>
      <c r="J497" s="2" t="n"/>
      <c r="K497" s="2" t="n"/>
      <c r="L497" s="2" t="n"/>
      <c r="M497" s="2" t="n"/>
      <c r="N497" s="2" t="n"/>
      <c r="O497" s="2" t="n"/>
      <c r="P497" s="2" t="n"/>
      <c r="Q497" s="4">
        <f>IF(OR(A497="",E497=""),"",IF(MAXIFS($E$2:$E$1001,$A$2:$A$1001,A497,$E$2:$E$1001,"&lt;"&amp;E497)=0,"",SUMIFS($G$2:$G$1001,$A$2:$A$1001,A497,$E$2:$E$1001,MAXIFS($E$2:$E$1001,$A$2:$A$1001,A497,$E$2:$E$1001,"&lt;"&amp;E497))))</f>
        <v/>
      </c>
      <c r="R497" s="9">
        <f>IF(OR(Q497="",G497=""),"",G497-Q497)</f>
        <v/>
      </c>
      <c r="S497" s="9">
        <f>IF(R497="","",SUMIFS($R$2:$R$1001,$A$2:$A$1001,A497,$E$2:$E$1001,"&lt;="&amp;E497))</f>
        <v/>
      </c>
      <c r="T497" s="5">
        <f>IF(A497="","",IF(R497="","initial",IF(ABS(R497)&lt;=ShiftThresholdDays,"unchanged",IF(R497&gt;0,"delayed","accelerated"))))</f>
        <v/>
      </c>
    </row>
    <row r="498">
      <c r="A498" s="2" t="n"/>
      <c r="B498" s="2" t="n"/>
      <c r="C498" s="2" t="n"/>
      <c r="D498" s="2" t="n"/>
      <c r="E498" s="2" t="n"/>
      <c r="F498" s="2" t="n"/>
      <c r="G498" s="3" t="n"/>
      <c r="H498" s="2" t="n"/>
      <c r="I498" s="3" t="n"/>
      <c r="J498" s="2" t="n"/>
      <c r="K498" s="2" t="n"/>
      <c r="L498" s="2" t="n"/>
      <c r="M498" s="2" t="n"/>
      <c r="N498" s="2" t="n"/>
      <c r="O498" s="2" t="n"/>
      <c r="P498" s="2" t="n"/>
      <c r="Q498" s="4">
        <f>IF(OR(A498="",E498=""),"",IF(MAXIFS($E$2:$E$1001,$A$2:$A$1001,A498,$E$2:$E$1001,"&lt;"&amp;E498)=0,"",SUMIFS($G$2:$G$1001,$A$2:$A$1001,A498,$E$2:$E$1001,MAXIFS($E$2:$E$1001,$A$2:$A$1001,A498,$E$2:$E$1001,"&lt;"&amp;E498))))</f>
        <v/>
      </c>
      <c r="R498" s="9">
        <f>IF(OR(Q498="",G498=""),"",G498-Q498)</f>
        <v/>
      </c>
      <c r="S498" s="9">
        <f>IF(R498="","",SUMIFS($R$2:$R$1001,$A$2:$A$1001,A498,$E$2:$E$1001,"&lt;="&amp;E498))</f>
        <v/>
      </c>
      <c r="T498" s="5">
        <f>IF(A498="","",IF(R498="","initial",IF(ABS(R498)&lt;=ShiftThresholdDays,"unchanged",IF(R498&gt;0,"delayed","accelerated"))))</f>
        <v/>
      </c>
    </row>
    <row r="499">
      <c r="A499" s="2" t="n"/>
      <c r="B499" s="2" t="n"/>
      <c r="C499" s="2" t="n"/>
      <c r="D499" s="2" t="n"/>
      <c r="E499" s="2" t="n"/>
      <c r="F499" s="2" t="n"/>
      <c r="G499" s="3" t="n"/>
      <c r="H499" s="2" t="n"/>
      <c r="I499" s="3" t="n"/>
      <c r="J499" s="2" t="n"/>
      <c r="K499" s="2" t="n"/>
      <c r="L499" s="2" t="n"/>
      <c r="M499" s="2" t="n"/>
      <c r="N499" s="2" t="n"/>
      <c r="O499" s="2" t="n"/>
      <c r="P499" s="2" t="n"/>
      <c r="Q499" s="4">
        <f>IF(OR(A499="",E499=""),"",IF(MAXIFS($E$2:$E$1001,$A$2:$A$1001,A499,$E$2:$E$1001,"&lt;"&amp;E499)=0,"",SUMIFS($G$2:$G$1001,$A$2:$A$1001,A499,$E$2:$E$1001,MAXIFS($E$2:$E$1001,$A$2:$A$1001,A499,$E$2:$E$1001,"&lt;"&amp;E499))))</f>
        <v/>
      </c>
      <c r="R499" s="9">
        <f>IF(OR(Q499="",G499=""),"",G499-Q499)</f>
        <v/>
      </c>
      <c r="S499" s="9">
        <f>IF(R499="","",SUMIFS($R$2:$R$1001,$A$2:$A$1001,A499,$E$2:$E$1001,"&lt;="&amp;E499))</f>
        <v/>
      </c>
      <c r="T499" s="5">
        <f>IF(A499="","",IF(R499="","initial",IF(ABS(R499)&lt;=ShiftThresholdDays,"unchanged",IF(R499&gt;0,"delayed","accelerated"))))</f>
        <v/>
      </c>
    </row>
    <row r="500">
      <c r="A500" s="2" t="n"/>
      <c r="B500" s="2" t="n"/>
      <c r="C500" s="2" t="n"/>
      <c r="D500" s="2" t="n"/>
      <c r="E500" s="2" t="n"/>
      <c r="F500" s="2" t="n"/>
      <c r="G500" s="3" t="n"/>
      <c r="H500" s="2" t="n"/>
      <c r="I500" s="3" t="n"/>
      <c r="J500" s="2" t="n"/>
      <c r="K500" s="2" t="n"/>
      <c r="L500" s="2" t="n"/>
      <c r="M500" s="2" t="n"/>
      <c r="N500" s="2" t="n"/>
      <c r="O500" s="2" t="n"/>
      <c r="P500" s="2" t="n"/>
      <c r="Q500" s="4">
        <f>IF(OR(A500="",E500=""),"",IF(MAXIFS($E$2:$E$1001,$A$2:$A$1001,A500,$E$2:$E$1001,"&lt;"&amp;E500)=0,"",SUMIFS($G$2:$G$1001,$A$2:$A$1001,A500,$E$2:$E$1001,MAXIFS($E$2:$E$1001,$A$2:$A$1001,A500,$E$2:$E$1001,"&lt;"&amp;E500))))</f>
        <v/>
      </c>
      <c r="R500" s="9">
        <f>IF(OR(Q500="",G500=""),"",G500-Q500)</f>
        <v/>
      </c>
      <c r="S500" s="9">
        <f>IF(R500="","",SUMIFS($R$2:$R$1001,$A$2:$A$1001,A500,$E$2:$E$1001,"&lt;="&amp;E500))</f>
        <v/>
      </c>
      <c r="T500" s="5">
        <f>IF(A500="","",IF(R500="","initial",IF(ABS(R500)&lt;=ShiftThresholdDays,"unchanged",IF(R500&gt;0,"delayed","accelerated"))))</f>
        <v/>
      </c>
    </row>
    <row r="501">
      <c r="A501" s="2" t="n"/>
      <c r="B501" s="2" t="n"/>
      <c r="C501" s="2" t="n"/>
      <c r="D501" s="2" t="n"/>
      <c r="E501" s="2" t="n"/>
      <c r="F501" s="2" t="n"/>
      <c r="G501" s="3" t="n"/>
      <c r="H501" s="2" t="n"/>
      <c r="I501" s="3" t="n"/>
      <c r="J501" s="2" t="n"/>
      <c r="K501" s="2" t="n"/>
      <c r="L501" s="2" t="n"/>
      <c r="M501" s="2" t="n"/>
      <c r="N501" s="2" t="n"/>
      <c r="O501" s="2" t="n"/>
      <c r="P501" s="2" t="n"/>
      <c r="Q501" s="4">
        <f>IF(OR(A501="",E501=""),"",IF(MAXIFS($E$2:$E$1001,$A$2:$A$1001,A501,$E$2:$E$1001,"&lt;"&amp;E501)=0,"",SUMIFS($G$2:$G$1001,$A$2:$A$1001,A501,$E$2:$E$1001,MAXIFS($E$2:$E$1001,$A$2:$A$1001,A501,$E$2:$E$1001,"&lt;"&amp;E501))))</f>
        <v/>
      </c>
      <c r="R501" s="9">
        <f>IF(OR(Q501="",G501=""),"",G501-Q501)</f>
        <v/>
      </c>
      <c r="S501" s="9">
        <f>IF(R501="","",SUMIFS($R$2:$R$1001,$A$2:$A$1001,A501,$E$2:$E$1001,"&lt;="&amp;E501))</f>
        <v/>
      </c>
      <c r="T501" s="5">
        <f>IF(A501="","",IF(R501="","initial",IF(ABS(R501)&lt;=ShiftThresholdDays,"unchanged",IF(R501&gt;0,"delayed","accelerated"))))</f>
        <v/>
      </c>
    </row>
    <row r="502">
      <c r="A502" s="2" t="n"/>
      <c r="B502" s="2" t="n"/>
      <c r="C502" s="2" t="n"/>
      <c r="D502" s="2" t="n"/>
      <c r="E502" s="2" t="n"/>
      <c r="F502" s="2" t="n"/>
      <c r="G502" s="3" t="n"/>
      <c r="H502" s="2" t="n"/>
      <c r="I502" s="3" t="n"/>
      <c r="J502" s="2" t="n"/>
      <c r="K502" s="2" t="n"/>
      <c r="L502" s="2" t="n"/>
      <c r="M502" s="2" t="n"/>
      <c r="N502" s="2" t="n"/>
      <c r="O502" s="2" t="n"/>
      <c r="P502" s="2" t="n"/>
      <c r="Q502" s="4">
        <f>IF(OR(A502="",E502=""),"",IF(MAXIFS($E$2:$E$1001,$A$2:$A$1001,A502,$E$2:$E$1001,"&lt;"&amp;E502)=0,"",SUMIFS($G$2:$G$1001,$A$2:$A$1001,A502,$E$2:$E$1001,MAXIFS($E$2:$E$1001,$A$2:$A$1001,A502,$E$2:$E$1001,"&lt;"&amp;E502))))</f>
        <v/>
      </c>
      <c r="R502" s="9">
        <f>IF(OR(Q502="",G502=""),"",G502-Q502)</f>
        <v/>
      </c>
      <c r="S502" s="9">
        <f>IF(R502="","",SUMIFS($R$2:$R$1001,$A$2:$A$1001,A502,$E$2:$E$1001,"&lt;="&amp;E502))</f>
        <v/>
      </c>
      <c r="T502" s="5">
        <f>IF(A502="","",IF(R502="","initial",IF(ABS(R502)&lt;=ShiftThresholdDays,"unchanged",IF(R502&gt;0,"delayed","accelerated"))))</f>
        <v/>
      </c>
    </row>
    <row r="503">
      <c r="A503" s="2" t="n"/>
      <c r="B503" s="2" t="n"/>
      <c r="C503" s="2" t="n"/>
      <c r="D503" s="2" t="n"/>
      <c r="E503" s="2" t="n"/>
      <c r="F503" s="2" t="n"/>
      <c r="G503" s="3" t="n"/>
      <c r="H503" s="2" t="n"/>
      <c r="I503" s="3" t="n"/>
      <c r="J503" s="2" t="n"/>
      <c r="K503" s="2" t="n"/>
      <c r="L503" s="2" t="n"/>
      <c r="M503" s="2" t="n"/>
      <c r="N503" s="2" t="n"/>
      <c r="O503" s="2" t="n"/>
      <c r="P503" s="2" t="n"/>
      <c r="Q503" s="4">
        <f>IF(OR(A503="",E503=""),"",IF(MAXIFS($E$2:$E$1001,$A$2:$A$1001,A503,$E$2:$E$1001,"&lt;"&amp;E503)=0,"",SUMIFS($G$2:$G$1001,$A$2:$A$1001,A503,$E$2:$E$1001,MAXIFS($E$2:$E$1001,$A$2:$A$1001,A503,$E$2:$E$1001,"&lt;"&amp;E503))))</f>
        <v/>
      </c>
      <c r="R503" s="9">
        <f>IF(OR(Q503="",G503=""),"",G503-Q503)</f>
        <v/>
      </c>
      <c r="S503" s="9">
        <f>IF(R503="","",SUMIFS($R$2:$R$1001,$A$2:$A$1001,A503,$E$2:$E$1001,"&lt;="&amp;E503))</f>
        <v/>
      </c>
      <c r="T503" s="5">
        <f>IF(A503="","",IF(R503="","initial",IF(ABS(R503)&lt;=ShiftThresholdDays,"unchanged",IF(R503&gt;0,"delayed","accelerated"))))</f>
        <v/>
      </c>
    </row>
    <row r="504">
      <c r="A504" s="2" t="n"/>
      <c r="B504" s="2" t="n"/>
      <c r="C504" s="2" t="n"/>
      <c r="D504" s="2" t="n"/>
      <c r="E504" s="2" t="n"/>
      <c r="F504" s="2" t="n"/>
      <c r="G504" s="3" t="n"/>
      <c r="H504" s="2" t="n"/>
      <c r="I504" s="3" t="n"/>
      <c r="J504" s="2" t="n"/>
      <c r="K504" s="2" t="n"/>
      <c r="L504" s="2" t="n"/>
      <c r="M504" s="2" t="n"/>
      <c r="N504" s="2" t="n"/>
      <c r="O504" s="2" t="n"/>
      <c r="P504" s="2" t="n"/>
      <c r="Q504" s="4">
        <f>IF(OR(A504="",E504=""),"",IF(MAXIFS($E$2:$E$1001,$A$2:$A$1001,A504,$E$2:$E$1001,"&lt;"&amp;E504)=0,"",SUMIFS($G$2:$G$1001,$A$2:$A$1001,A504,$E$2:$E$1001,MAXIFS($E$2:$E$1001,$A$2:$A$1001,A504,$E$2:$E$1001,"&lt;"&amp;E504))))</f>
        <v/>
      </c>
      <c r="R504" s="9">
        <f>IF(OR(Q504="",G504=""),"",G504-Q504)</f>
        <v/>
      </c>
      <c r="S504" s="9">
        <f>IF(R504="","",SUMIFS($R$2:$R$1001,$A$2:$A$1001,A504,$E$2:$E$1001,"&lt;="&amp;E504))</f>
        <v/>
      </c>
      <c r="T504" s="5">
        <f>IF(A504="","",IF(R504="","initial",IF(ABS(R504)&lt;=ShiftThresholdDays,"unchanged",IF(R504&gt;0,"delayed","accelerated"))))</f>
        <v/>
      </c>
    </row>
    <row r="505">
      <c r="A505" s="2" t="n"/>
      <c r="B505" s="2" t="n"/>
      <c r="C505" s="2" t="n"/>
      <c r="D505" s="2" t="n"/>
      <c r="E505" s="2" t="n"/>
      <c r="F505" s="2" t="n"/>
      <c r="G505" s="3" t="n"/>
      <c r="H505" s="2" t="n"/>
      <c r="I505" s="3" t="n"/>
      <c r="J505" s="2" t="n"/>
      <c r="K505" s="2" t="n"/>
      <c r="L505" s="2" t="n"/>
      <c r="M505" s="2" t="n"/>
      <c r="N505" s="2" t="n"/>
      <c r="O505" s="2" t="n"/>
      <c r="P505" s="2" t="n"/>
      <c r="Q505" s="4">
        <f>IF(OR(A505="",E505=""),"",IF(MAXIFS($E$2:$E$1001,$A$2:$A$1001,A505,$E$2:$E$1001,"&lt;"&amp;E505)=0,"",SUMIFS($G$2:$G$1001,$A$2:$A$1001,A505,$E$2:$E$1001,MAXIFS($E$2:$E$1001,$A$2:$A$1001,A505,$E$2:$E$1001,"&lt;"&amp;E505))))</f>
        <v/>
      </c>
      <c r="R505" s="9">
        <f>IF(OR(Q505="",G505=""),"",G505-Q505)</f>
        <v/>
      </c>
      <c r="S505" s="9">
        <f>IF(R505="","",SUMIFS($R$2:$R$1001,$A$2:$A$1001,A505,$E$2:$E$1001,"&lt;="&amp;E505))</f>
        <v/>
      </c>
      <c r="T505" s="5">
        <f>IF(A505="","",IF(R505="","initial",IF(ABS(R505)&lt;=ShiftThresholdDays,"unchanged",IF(R505&gt;0,"delayed","accelerated"))))</f>
        <v/>
      </c>
    </row>
    <row r="506">
      <c r="A506" s="2" t="n"/>
      <c r="B506" s="2" t="n"/>
      <c r="C506" s="2" t="n"/>
      <c r="D506" s="2" t="n"/>
      <c r="E506" s="2" t="n"/>
      <c r="F506" s="2" t="n"/>
      <c r="G506" s="3" t="n"/>
      <c r="H506" s="2" t="n"/>
      <c r="I506" s="3" t="n"/>
      <c r="J506" s="2" t="n"/>
      <c r="K506" s="2" t="n"/>
      <c r="L506" s="2" t="n"/>
      <c r="M506" s="2" t="n"/>
      <c r="N506" s="2" t="n"/>
      <c r="O506" s="2" t="n"/>
      <c r="P506" s="2" t="n"/>
      <c r="Q506" s="4">
        <f>IF(OR(A506="",E506=""),"",IF(MAXIFS($E$2:$E$1001,$A$2:$A$1001,A506,$E$2:$E$1001,"&lt;"&amp;E506)=0,"",SUMIFS($G$2:$G$1001,$A$2:$A$1001,A506,$E$2:$E$1001,MAXIFS($E$2:$E$1001,$A$2:$A$1001,A506,$E$2:$E$1001,"&lt;"&amp;E506))))</f>
        <v/>
      </c>
      <c r="R506" s="9">
        <f>IF(OR(Q506="",G506=""),"",G506-Q506)</f>
        <v/>
      </c>
      <c r="S506" s="9">
        <f>IF(R506="","",SUMIFS($R$2:$R$1001,$A$2:$A$1001,A506,$E$2:$E$1001,"&lt;="&amp;E506))</f>
        <v/>
      </c>
      <c r="T506" s="5">
        <f>IF(A506="","",IF(R506="","initial",IF(ABS(R506)&lt;=ShiftThresholdDays,"unchanged",IF(R506&gt;0,"delayed","accelerated"))))</f>
        <v/>
      </c>
    </row>
    <row r="507">
      <c r="A507" s="2" t="n"/>
      <c r="B507" s="2" t="n"/>
      <c r="C507" s="2" t="n"/>
      <c r="D507" s="2" t="n"/>
      <c r="E507" s="2" t="n"/>
      <c r="F507" s="2" t="n"/>
      <c r="G507" s="3" t="n"/>
      <c r="H507" s="2" t="n"/>
      <c r="I507" s="3" t="n"/>
      <c r="J507" s="2" t="n"/>
      <c r="K507" s="2" t="n"/>
      <c r="L507" s="2" t="n"/>
      <c r="M507" s="2" t="n"/>
      <c r="N507" s="2" t="n"/>
      <c r="O507" s="2" t="n"/>
      <c r="P507" s="2" t="n"/>
      <c r="Q507" s="4">
        <f>IF(OR(A507="",E507=""),"",IF(MAXIFS($E$2:$E$1001,$A$2:$A$1001,A507,$E$2:$E$1001,"&lt;"&amp;E507)=0,"",SUMIFS($G$2:$G$1001,$A$2:$A$1001,A507,$E$2:$E$1001,MAXIFS($E$2:$E$1001,$A$2:$A$1001,A507,$E$2:$E$1001,"&lt;"&amp;E507))))</f>
        <v/>
      </c>
      <c r="R507" s="9">
        <f>IF(OR(Q507="",G507=""),"",G507-Q507)</f>
        <v/>
      </c>
      <c r="S507" s="9">
        <f>IF(R507="","",SUMIFS($R$2:$R$1001,$A$2:$A$1001,A507,$E$2:$E$1001,"&lt;="&amp;E507))</f>
        <v/>
      </c>
      <c r="T507" s="5">
        <f>IF(A507="","",IF(R507="","initial",IF(ABS(R507)&lt;=ShiftThresholdDays,"unchanged",IF(R507&gt;0,"delayed","accelerated"))))</f>
        <v/>
      </c>
    </row>
    <row r="508">
      <c r="A508" s="2" t="n"/>
      <c r="B508" s="2" t="n"/>
      <c r="C508" s="2" t="n"/>
      <c r="D508" s="2" t="n"/>
      <c r="E508" s="2" t="n"/>
      <c r="F508" s="2" t="n"/>
      <c r="G508" s="3" t="n"/>
      <c r="H508" s="2" t="n"/>
      <c r="I508" s="3" t="n"/>
      <c r="J508" s="2" t="n"/>
      <c r="K508" s="2" t="n"/>
      <c r="L508" s="2" t="n"/>
      <c r="M508" s="2" t="n"/>
      <c r="N508" s="2" t="n"/>
      <c r="O508" s="2" t="n"/>
      <c r="P508" s="2" t="n"/>
      <c r="Q508" s="4">
        <f>IF(OR(A508="",E508=""),"",IF(MAXIFS($E$2:$E$1001,$A$2:$A$1001,A508,$E$2:$E$1001,"&lt;"&amp;E508)=0,"",SUMIFS($G$2:$G$1001,$A$2:$A$1001,A508,$E$2:$E$1001,MAXIFS($E$2:$E$1001,$A$2:$A$1001,A508,$E$2:$E$1001,"&lt;"&amp;E508))))</f>
        <v/>
      </c>
      <c r="R508" s="9">
        <f>IF(OR(Q508="",G508=""),"",G508-Q508)</f>
        <v/>
      </c>
      <c r="S508" s="9">
        <f>IF(R508="","",SUMIFS($R$2:$R$1001,$A$2:$A$1001,A508,$E$2:$E$1001,"&lt;="&amp;E508))</f>
        <v/>
      </c>
      <c r="T508" s="5">
        <f>IF(A508="","",IF(R508="","initial",IF(ABS(R508)&lt;=ShiftThresholdDays,"unchanged",IF(R508&gt;0,"delayed","accelerated"))))</f>
        <v/>
      </c>
    </row>
    <row r="509">
      <c r="A509" s="2" t="n"/>
      <c r="B509" s="2" t="n"/>
      <c r="C509" s="2" t="n"/>
      <c r="D509" s="2" t="n"/>
      <c r="E509" s="2" t="n"/>
      <c r="F509" s="2" t="n"/>
      <c r="G509" s="3" t="n"/>
      <c r="H509" s="2" t="n"/>
      <c r="I509" s="3" t="n"/>
      <c r="J509" s="2" t="n"/>
      <c r="K509" s="2" t="n"/>
      <c r="L509" s="2" t="n"/>
      <c r="M509" s="2" t="n"/>
      <c r="N509" s="2" t="n"/>
      <c r="O509" s="2" t="n"/>
      <c r="P509" s="2" t="n"/>
      <c r="Q509" s="4">
        <f>IF(OR(A509="",E509=""),"",IF(MAXIFS($E$2:$E$1001,$A$2:$A$1001,A509,$E$2:$E$1001,"&lt;"&amp;E509)=0,"",SUMIFS($G$2:$G$1001,$A$2:$A$1001,A509,$E$2:$E$1001,MAXIFS($E$2:$E$1001,$A$2:$A$1001,A509,$E$2:$E$1001,"&lt;"&amp;E509))))</f>
        <v/>
      </c>
      <c r="R509" s="9">
        <f>IF(OR(Q509="",G509=""),"",G509-Q509)</f>
        <v/>
      </c>
      <c r="S509" s="9">
        <f>IF(R509="","",SUMIFS($R$2:$R$1001,$A$2:$A$1001,A509,$E$2:$E$1001,"&lt;="&amp;E509))</f>
        <v/>
      </c>
      <c r="T509" s="5">
        <f>IF(A509="","",IF(R509="","initial",IF(ABS(R509)&lt;=ShiftThresholdDays,"unchanged",IF(R509&gt;0,"delayed","accelerated"))))</f>
        <v/>
      </c>
    </row>
    <row r="510">
      <c r="A510" s="2" t="n"/>
      <c r="B510" s="2" t="n"/>
      <c r="C510" s="2" t="n"/>
      <c r="D510" s="2" t="n"/>
      <c r="E510" s="2" t="n"/>
      <c r="F510" s="2" t="n"/>
      <c r="G510" s="3" t="n"/>
      <c r="H510" s="2" t="n"/>
      <c r="I510" s="3" t="n"/>
      <c r="J510" s="2" t="n"/>
      <c r="K510" s="2" t="n"/>
      <c r="L510" s="2" t="n"/>
      <c r="M510" s="2" t="n"/>
      <c r="N510" s="2" t="n"/>
      <c r="O510" s="2" t="n"/>
      <c r="P510" s="2" t="n"/>
      <c r="Q510" s="4">
        <f>IF(OR(A510="",E510=""),"",IF(MAXIFS($E$2:$E$1001,$A$2:$A$1001,A510,$E$2:$E$1001,"&lt;"&amp;E510)=0,"",SUMIFS($G$2:$G$1001,$A$2:$A$1001,A510,$E$2:$E$1001,MAXIFS($E$2:$E$1001,$A$2:$A$1001,A510,$E$2:$E$1001,"&lt;"&amp;E510))))</f>
        <v/>
      </c>
      <c r="R510" s="9">
        <f>IF(OR(Q510="",G510=""),"",G510-Q510)</f>
        <v/>
      </c>
      <c r="S510" s="9">
        <f>IF(R510="","",SUMIFS($R$2:$R$1001,$A$2:$A$1001,A510,$E$2:$E$1001,"&lt;="&amp;E510))</f>
        <v/>
      </c>
      <c r="T510" s="5">
        <f>IF(A510="","",IF(R510="","initial",IF(ABS(R510)&lt;=ShiftThresholdDays,"unchanged",IF(R510&gt;0,"delayed","accelerated"))))</f>
        <v/>
      </c>
    </row>
    <row r="511">
      <c r="A511" s="2" t="n"/>
      <c r="B511" s="2" t="n"/>
      <c r="C511" s="2" t="n"/>
      <c r="D511" s="2" t="n"/>
      <c r="E511" s="2" t="n"/>
      <c r="F511" s="2" t="n"/>
      <c r="G511" s="3" t="n"/>
      <c r="H511" s="2" t="n"/>
      <c r="I511" s="3" t="n"/>
      <c r="J511" s="2" t="n"/>
      <c r="K511" s="2" t="n"/>
      <c r="L511" s="2" t="n"/>
      <c r="M511" s="2" t="n"/>
      <c r="N511" s="2" t="n"/>
      <c r="O511" s="2" t="n"/>
      <c r="P511" s="2" t="n"/>
      <c r="Q511" s="4">
        <f>IF(OR(A511="",E511=""),"",IF(MAXIFS($E$2:$E$1001,$A$2:$A$1001,A511,$E$2:$E$1001,"&lt;"&amp;E511)=0,"",SUMIFS($G$2:$G$1001,$A$2:$A$1001,A511,$E$2:$E$1001,MAXIFS($E$2:$E$1001,$A$2:$A$1001,A511,$E$2:$E$1001,"&lt;"&amp;E511))))</f>
        <v/>
      </c>
      <c r="R511" s="9">
        <f>IF(OR(Q511="",G511=""),"",G511-Q511)</f>
        <v/>
      </c>
      <c r="S511" s="9">
        <f>IF(R511="","",SUMIFS($R$2:$R$1001,$A$2:$A$1001,A511,$E$2:$E$1001,"&lt;="&amp;E511))</f>
        <v/>
      </c>
      <c r="T511" s="5">
        <f>IF(A511="","",IF(R511="","initial",IF(ABS(R511)&lt;=ShiftThresholdDays,"unchanged",IF(R511&gt;0,"delayed","accelerated"))))</f>
        <v/>
      </c>
    </row>
    <row r="512">
      <c r="A512" s="2" t="n"/>
      <c r="B512" s="2" t="n"/>
      <c r="C512" s="2" t="n"/>
      <c r="D512" s="2" t="n"/>
      <c r="E512" s="2" t="n"/>
      <c r="F512" s="2" t="n"/>
      <c r="G512" s="3" t="n"/>
      <c r="H512" s="2" t="n"/>
      <c r="I512" s="3" t="n"/>
      <c r="J512" s="2" t="n"/>
      <c r="K512" s="2" t="n"/>
      <c r="L512" s="2" t="n"/>
      <c r="M512" s="2" t="n"/>
      <c r="N512" s="2" t="n"/>
      <c r="O512" s="2" t="n"/>
      <c r="P512" s="2" t="n"/>
      <c r="Q512" s="4">
        <f>IF(OR(A512="",E512=""),"",IF(MAXIFS($E$2:$E$1001,$A$2:$A$1001,A512,$E$2:$E$1001,"&lt;"&amp;E512)=0,"",SUMIFS($G$2:$G$1001,$A$2:$A$1001,A512,$E$2:$E$1001,MAXIFS($E$2:$E$1001,$A$2:$A$1001,A512,$E$2:$E$1001,"&lt;"&amp;E512))))</f>
        <v/>
      </c>
      <c r="R512" s="9">
        <f>IF(OR(Q512="",G512=""),"",G512-Q512)</f>
        <v/>
      </c>
      <c r="S512" s="9">
        <f>IF(R512="","",SUMIFS($R$2:$R$1001,$A$2:$A$1001,A512,$E$2:$E$1001,"&lt;="&amp;E512))</f>
        <v/>
      </c>
      <c r="T512" s="5">
        <f>IF(A512="","",IF(R512="","initial",IF(ABS(R512)&lt;=ShiftThresholdDays,"unchanged",IF(R512&gt;0,"delayed","accelerated"))))</f>
        <v/>
      </c>
    </row>
    <row r="513">
      <c r="A513" s="2" t="n"/>
      <c r="B513" s="2" t="n"/>
      <c r="C513" s="2" t="n"/>
      <c r="D513" s="2" t="n"/>
      <c r="E513" s="2" t="n"/>
      <c r="F513" s="2" t="n"/>
      <c r="G513" s="3" t="n"/>
      <c r="H513" s="2" t="n"/>
      <c r="I513" s="3" t="n"/>
      <c r="J513" s="2" t="n"/>
      <c r="K513" s="2" t="n"/>
      <c r="L513" s="2" t="n"/>
      <c r="M513" s="2" t="n"/>
      <c r="N513" s="2" t="n"/>
      <c r="O513" s="2" t="n"/>
      <c r="P513" s="2" t="n"/>
      <c r="Q513" s="4">
        <f>IF(OR(A513="",E513=""),"",IF(MAXIFS($E$2:$E$1001,$A$2:$A$1001,A513,$E$2:$E$1001,"&lt;"&amp;E513)=0,"",SUMIFS($G$2:$G$1001,$A$2:$A$1001,A513,$E$2:$E$1001,MAXIFS($E$2:$E$1001,$A$2:$A$1001,A513,$E$2:$E$1001,"&lt;"&amp;E513))))</f>
        <v/>
      </c>
      <c r="R513" s="9">
        <f>IF(OR(Q513="",G513=""),"",G513-Q513)</f>
        <v/>
      </c>
      <c r="S513" s="9">
        <f>IF(R513="","",SUMIFS($R$2:$R$1001,$A$2:$A$1001,A513,$E$2:$E$1001,"&lt;="&amp;E513))</f>
        <v/>
      </c>
      <c r="T513" s="5">
        <f>IF(A513="","",IF(R513="","initial",IF(ABS(R513)&lt;=ShiftThresholdDays,"unchanged",IF(R513&gt;0,"delayed","accelerated"))))</f>
        <v/>
      </c>
    </row>
    <row r="514">
      <c r="A514" s="2" t="n"/>
      <c r="B514" s="2" t="n"/>
      <c r="C514" s="2" t="n"/>
      <c r="D514" s="2" t="n"/>
      <c r="E514" s="2" t="n"/>
      <c r="F514" s="2" t="n"/>
      <c r="G514" s="3" t="n"/>
      <c r="H514" s="2" t="n"/>
      <c r="I514" s="3" t="n"/>
      <c r="J514" s="2" t="n"/>
      <c r="K514" s="2" t="n"/>
      <c r="L514" s="2" t="n"/>
      <c r="M514" s="2" t="n"/>
      <c r="N514" s="2" t="n"/>
      <c r="O514" s="2" t="n"/>
      <c r="P514" s="2" t="n"/>
      <c r="Q514" s="4">
        <f>IF(OR(A514="",E514=""),"",IF(MAXIFS($E$2:$E$1001,$A$2:$A$1001,A514,$E$2:$E$1001,"&lt;"&amp;E514)=0,"",SUMIFS($G$2:$G$1001,$A$2:$A$1001,A514,$E$2:$E$1001,MAXIFS($E$2:$E$1001,$A$2:$A$1001,A514,$E$2:$E$1001,"&lt;"&amp;E514))))</f>
        <v/>
      </c>
      <c r="R514" s="9">
        <f>IF(OR(Q514="",G514=""),"",G514-Q514)</f>
        <v/>
      </c>
      <c r="S514" s="9">
        <f>IF(R514="","",SUMIFS($R$2:$R$1001,$A$2:$A$1001,A514,$E$2:$E$1001,"&lt;="&amp;E514))</f>
        <v/>
      </c>
      <c r="T514" s="5">
        <f>IF(A514="","",IF(R514="","initial",IF(ABS(R514)&lt;=ShiftThresholdDays,"unchanged",IF(R514&gt;0,"delayed","accelerated"))))</f>
        <v/>
      </c>
    </row>
    <row r="515">
      <c r="A515" s="2" t="n"/>
      <c r="B515" s="2" t="n"/>
      <c r="C515" s="2" t="n"/>
      <c r="D515" s="2" t="n"/>
      <c r="E515" s="2" t="n"/>
      <c r="F515" s="2" t="n"/>
      <c r="G515" s="3" t="n"/>
      <c r="H515" s="2" t="n"/>
      <c r="I515" s="3" t="n"/>
      <c r="J515" s="2" t="n"/>
      <c r="K515" s="2" t="n"/>
      <c r="L515" s="2" t="n"/>
      <c r="M515" s="2" t="n"/>
      <c r="N515" s="2" t="n"/>
      <c r="O515" s="2" t="n"/>
      <c r="P515" s="2" t="n"/>
      <c r="Q515" s="4">
        <f>IF(OR(A515="",E515=""),"",IF(MAXIFS($E$2:$E$1001,$A$2:$A$1001,A515,$E$2:$E$1001,"&lt;"&amp;E515)=0,"",SUMIFS($G$2:$G$1001,$A$2:$A$1001,A515,$E$2:$E$1001,MAXIFS($E$2:$E$1001,$A$2:$A$1001,A515,$E$2:$E$1001,"&lt;"&amp;E515))))</f>
        <v/>
      </c>
      <c r="R515" s="9">
        <f>IF(OR(Q515="",G515=""),"",G515-Q515)</f>
        <v/>
      </c>
      <c r="S515" s="9">
        <f>IF(R515="","",SUMIFS($R$2:$R$1001,$A$2:$A$1001,A515,$E$2:$E$1001,"&lt;="&amp;E515))</f>
        <v/>
      </c>
      <c r="T515" s="5">
        <f>IF(A515="","",IF(R515="","initial",IF(ABS(R515)&lt;=ShiftThresholdDays,"unchanged",IF(R515&gt;0,"delayed","accelerated"))))</f>
        <v/>
      </c>
    </row>
    <row r="516">
      <c r="A516" s="2" t="n"/>
      <c r="B516" s="2" t="n"/>
      <c r="C516" s="2" t="n"/>
      <c r="D516" s="2" t="n"/>
      <c r="E516" s="2" t="n"/>
      <c r="F516" s="2" t="n"/>
      <c r="G516" s="3" t="n"/>
      <c r="H516" s="2" t="n"/>
      <c r="I516" s="3" t="n"/>
      <c r="J516" s="2" t="n"/>
      <c r="K516" s="2" t="n"/>
      <c r="L516" s="2" t="n"/>
      <c r="M516" s="2" t="n"/>
      <c r="N516" s="2" t="n"/>
      <c r="O516" s="2" t="n"/>
      <c r="P516" s="2" t="n"/>
      <c r="Q516" s="4">
        <f>IF(OR(A516="",E516=""),"",IF(MAXIFS($E$2:$E$1001,$A$2:$A$1001,A516,$E$2:$E$1001,"&lt;"&amp;E516)=0,"",SUMIFS($G$2:$G$1001,$A$2:$A$1001,A516,$E$2:$E$1001,MAXIFS($E$2:$E$1001,$A$2:$A$1001,A516,$E$2:$E$1001,"&lt;"&amp;E516))))</f>
        <v/>
      </c>
      <c r="R516" s="9">
        <f>IF(OR(Q516="",G516=""),"",G516-Q516)</f>
        <v/>
      </c>
      <c r="S516" s="9">
        <f>IF(R516="","",SUMIFS($R$2:$R$1001,$A$2:$A$1001,A516,$E$2:$E$1001,"&lt;="&amp;E516))</f>
        <v/>
      </c>
      <c r="T516" s="5">
        <f>IF(A516="","",IF(R516="","initial",IF(ABS(R516)&lt;=ShiftThresholdDays,"unchanged",IF(R516&gt;0,"delayed","accelerated"))))</f>
        <v/>
      </c>
    </row>
    <row r="517">
      <c r="A517" s="2" t="n"/>
      <c r="B517" s="2" t="n"/>
      <c r="C517" s="2" t="n"/>
      <c r="D517" s="2" t="n"/>
      <c r="E517" s="2" t="n"/>
      <c r="F517" s="2" t="n"/>
      <c r="G517" s="3" t="n"/>
      <c r="H517" s="2" t="n"/>
      <c r="I517" s="3" t="n"/>
      <c r="J517" s="2" t="n"/>
      <c r="K517" s="2" t="n"/>
      <c r="L517" s="2" t="n"/>
      <c r="M517" s="2" t="n"/>
      <c r="N517" s="2" t="n"/>
      <c r="O517" s="2" t="n"/>
      <c r="P517" s="2" t="n"/>
      <c r="Q517" s="4">
        <f>IF(OR(A517="",E517=""),"",IF(MAXIFS($E$2:$E$1001,$A$2:$A$1001,A517,$E$2:$E$1001,"&lt;"&amp;E517)=0,"",SUMIFS($G$2:$G$1001,$A$2:$A$1001,A517,$E$2:$E$1001,MAXIFS($E$2:$E$1001,$A$2:$A$1001,A517,$E$2:$E$1001,"&lt;"&amp;E517))))</f>
        <v/>
      </c>
      <c r="R517" s="9">
        <f>IF(OR(Q517="",G517=""),"",G517-Q517)</f>
        <v/>
      </c>
      <c r="S517" s="9">
        <f>IF(R517="","",SUMIFS($R$2:$R$1001,$A$2:$A$1001,A517,$E$2:$E$1001,"&lt;="&amp;E517))</f>
        <v/>
      </c>
      <c r="T517" s="5">
        <f>IF(A517="","",IF(R517="","initial",IF(ABS(R517)&lt;=ShiftThresholdDays,"unchanged",IF(R517&gt;0,"delayed","accelerated"))))</f>
        <v/>
      </c>
    </row>
    <row r="518">
      <c r="A518" s="2" t="n"/>
      <c r="B518" s="2" t="n"/>
      <c r="C518" s="2" t="n"/>
      <c r="D518" s="2" t="n"/>
      <c r="E518" s="2" t="n"/>
      <c r="F518" s="2" t="n"/>
      <c r="G518" s="3" t="n"/>
      <c r="H518" s="2" t="n"/>
      <c r="I518" s="3" t="n"/>
      <c r="J518" s="2" t="n"/>
      <c r="K518" s="2" t="n"/>
      <c r="L518" s="2" t="n"/>
      <c r="M518" s="2" t="n"/>
      <c r="N518" s="2" t="n"/>
      <c r="O518" s="2" t="n"/>
      <c r="P518" s="2" t="n"/>
      <c r="Q518" s="4">
        <f>IF(OR(A518="",E518=""),"",IF(MAXIFS($E$2:$E$1001,$A$2:$A$1001,A518,$E$2:$E$1001,"&lt;"&amp;E518)=0,"",SUMIFS($G$2:$G$1001,$A$2:$A$1001,A518,$E$2:$E$1001,MAXIFS($E$2:$E$1001,$A$2:$A$1001,A518,$E$2:$E$1001,"&lt;"&amp;E518))))</f>
        <v/>
      </c>
      <c r="R518" s="9">
        <f>IF(OR(Q518="",G518=""),"",G518-Q518)</f>
        <v/>
      </c>
      <c r="S518" s="9">
        <f>IF(R518="","",SUMIFS($R$2:$R$1001,$A$2:$A$1001,A518,$E$2:$E$1001,"&lt;="&amp;E518))</f>
        <v/>
      </c>
      <c r="T518" s="5">
        <f>IF(A518="","",IF(R518="","initial",IF(ABS(R518)&lt;=ShiftThresholdDays,"unchanged",IF(R518&gt;0,"delayed","accelerated"))))</f>
        <v/>
      </c>
    </row>
    <row r="519">
      <c r="A519" s="2" t="n"/>
      <c r="B519" s="2" t="n"/>
      <c r="C519" s="2" t="n"/>
      <c r="D519" s="2" t="n"/>
      <c r="E519" s="2" t="n"/>
      <c r="F519" s="2" t="n"/>
      <c r="G519" s="3" t="n"/>
      <c r="H519" s="2" t="n"/>
      <c r="I519" s="3" t="n"/>
      <c r="J519" s="2" t="n"/>
      <c r="K519" s="2" t="n"/>
      <c r="L519" s="2" t="n"/>
      <c r="M519" s="2" t="n"/>
      <c r="N519" s="2" t="n"/>
      <c r="O519" s="2" t="n"/>
      <c r="P519" s="2" t="n"/>
      <c r="Q519" s="4">
        <f>IF(OR(A519="",E519=""),"",IF(MAXIFS($E$2:$E$1001,$A$2:$A$1001,A519,$E$2:$E$1001,"&lt;"&amp;E519)=0,"",SUMIFS($G$2:$G$1001,$A$2:$A$1001,A519,$E$2:$E$1001,MAXIFS($E$2:$E$1001,$A$2:$A$1001,A519,$E$2:$E$1001,"&lt;"&amp;E519))))</f>
        <v/>
      </c>
      <c r="R519" s="9">
        <f>IF(OR(Q519="",G519=""),"",G519-Q519)</f>
        <v/>
      </c>
      <c r="S519" s="9">
        <f>IF(R519="","",SUMIFS($R$2:$R$1001,$A$2:$A$1001,A519,$E$2:$E$1001,"&lt;="&amp;E519))</f>
        <v/>
      </c>
      <c r="T519" s="5">
        <f>IF(A519="","",IF(R519="","initial",IF(ABS(R519)&lt;=ShiftThresholdDays,"unchanged",IF(R519&gt;0,"delayed","accelerated"))))</f>
        <v/>
      </c>
    </row>
    <row r="520">
      <c r="A520" s="2" t="n"/>
      <c r="B520" s="2" t="n"/>
      <c r="C520" s="2" t="n"/>
      <c r="D520" s="2" t="n"/>
      <c r="E520" s="2" t="n"/>
      <c r="F520" s="2" t="n"/>
      <c r="G520" s="3" t="n"/>
      <c r="H520" s="2" t="n"/>
      <c r="I520" s="3" t="n"/>
      <c r="J520" s="2" t="n"/>
      <c r="K520" s="2" t="n"/>
      <c r="L520" s="2" t="n"/>
      <c r="M520" s="2" t="n"/>
      <c r="N520" s="2" t="n"/>
      <c r="O520" s="2" t="n"/>
      <c r="P520" s="2" t="n"/>
      <c r="Q520" s="4">
        <f>IF(OR(A520="",E520=""),"",IF(MAXIFS($E$2:$E$1001,$A$2:$A$1001,A520,$E$2:$E$1001,"&lt;"&amp;E520)=0,"",SUMIFS($G$2:$G$1001,$A$2:$A$1001,A520,$E$2:$E$1001,MAXIFS($E$2:$E$1001,$A$2:$A$1001,A520,$E$2:$E$1001,"&lt;"&amp;E520))))</f>
        <v/>
      </c>
      <c r="R520" s="9">
        <f>IF(OR(Q520="",G520=""),"",G520-Q520)</f>
        <v/>
      </c>
      <c r="S520" s="9">
        <f>IF(R520="","",SUMIFS($R$2:$R$1001,$A$2:$A$1001,A520,$E$2:$E$1001,"&lt;="&amp;E520))</f>
        <v/>
      </c>
      <c r="T520" s="5">
        <f>IF(A520="","",IF(R520="","initial",IF(ABS(R520)&lt;=ShiftThresholdDays,"unchanged",IF(R520&gt;0,"delayed","accelerated"))))</f>
        <v/>
      </c>
    </row>
    <row r="521">
      <c r="A521" s="2" t="n"/>
      <c r="B521" s="2" t="n"/>
      <c r="C521" s="2" t="n"/>
      <c r="D521" s="2" t="n"/>
      <c r="E521" s="2" t="n"/>
      <c r="F521" s="2" t="n"/>
      <c r="G521" s="3" t="n"/>
      <c r="H521" s="2" t="n"/>
      <c r="I521" s="3" t="n"/>
      <c r="J521" s="2" t="n"/>
      <c r="K521" s="2" t="n"/>
      <c r="L521" s="2" t="n"/>
      <c r="M521" s="2" t="n"/>
      <c r="N521" s="2" t="n"/>
      <c r="O521" s="2" t="n"/>
      <c r="P521" s="2" t="n"/>
      <c r="Q521" s="4">
        <f>IF(OR(A521="",E521=""),"",IF(MAXIFS($E$2:$E$1001,$A$2:$A$1001,A521,$E$2:$E$1001,"&lt;"&amp;E521)=0,"",SUMIFS($G$2:$G$1001,$A$2:$A$1001,A521,$E$2:$E$1001,MAXIFS($E$2:$E$1001,$A$2:$A$1001,A521,$E$2:$E$1001,"&lt;"&amp;E521))))</f>
        <v/>
      </c>
      <c r="R521" s="9">
        <f>IF(OR(Q521="",G521=""),"",G521-Q521)</f>
        <v/>
      </c>
      <c r="S521" s="9">
        <f>IF(R521="","",SUMIFS($R$2:$R$1001,$A$2:$A$1001,A521,$E$2:$E$1001,"&lt;="&amp;E521))</f>
        <v/>
      </c>
      <c r="T521" s="5">
        <f>IF(A521="","",IF(R521="","initial",IF(ABS(R521)&lt;=ShiftThresholdDays,"unchanged",IF(R521&gt;0,"delayed","accelerated"))))</f>
        <v/>
      </c>
    </row>
    <row r="522">
      <c r="A522" s="2" t="n"/>
      <c r="B522" s="2" t="n"/>
      <c r="C522" s="2" t="n"/>
      <c r="D522" s="2" t="n"/>
      <c r="E522" s="2" t="n"/>
      <c r="F522" s="2" t="n"/>
      <c r="G522" s="3" t="n"/>
      <c r="H522" s="2" t="n"/>
      <c r="I522" s="3" t="n"/>
      <c r="J522" s="2" t="n"/>
      <c r="K522" s="2" t="n"/>
      <c r="L522" s="2" t="n"/>
      <c r="M522" s="2" t="n"/>
      <c r="N522" s="2" t="n"/>
      <c r="O522" s="2" t="n"/>
      <c r="P522" s="2" t="n"/>
      <c r="Q522" s="4">
        <f>IF(OR(A522="",E522=""),"",IF(MAXIFS($E$2:$E$1001,$A$2:$A$1001,A522,$E$2:$E$1001,"&lt;"&amp;E522)=0,"",SUMIFS($G$2:$G$1001,$A$2:$A$1001,A522,$E$2:$E$1001,MAXIFS($E$2:$E$1001,$A$2:$A$1001,A522,$E$2:$E$1001,"&lt;"&amp;E522))))</f>
        <v/>
      </c>
      <c r="R522" s="9">
        <f>IF(OR(Q522="",G522=""),"",G522-Q522)</f>
        <v/>
      </c>
      <c r="S522" s="9">
        <f>IF(R522="","",SUMIFS($R$2:$R$1001,$A$2:$A$1001,A522,$E$2:$E$1001,"&lt;="&amp;E522))</f>
        <v/>
      </c>
      <c r="T522" s="5">
        <f>IF(A522="","",IF(R522="","initial",IF(ABS(R522)&lt;=ShiftThresholdDays,"unchanged",IF(R522&gt;0,"delayed","accelerated"))))</f>
        <v/>
      </c>
    </row>
    <row r="523">
      <c r="A523" s="2" t="n"/>
      <c r="B523" s="2" t="n"/>
      <c r="C523" s="2" t="n"/>
      <c r="D523" s="2" t="n"/>
      <c r="E523" s="2" t="n"/>
      <c r="F523" s="2" t="n"/>
      <c r="G523" s="3" t="n"/>
      <c r="H523" s="2" t="n"/>
      <c r="I523" s="3" t="n"/>
      <c r="J523" s="2" t="n"/>
      <c r="K523" s="2" t="n"/>
      <c r="L523" s="2" t="n"/>
      <c r="M523" s="2" t="n"/>
      <c r="N523" s="2" t="n"/>
      <c r="O523" s="2" t="n"/>
      <c r="P523" s="2" t="n"/>
      <c r="Q523" s="4">
        <f>IF(OR(A523="",E523=""),"",IF(MAXIFS($E$2:$E$1001,$A$2:$A$1001,A523,$E$2:$E$1001,"&lt;"&amp;E523)=0,"",SUMIFS($G$2:$G$1001,$A$2:$A$1001,A523,$E$2:$E$1001,MAXIFS($E$2:$E$1001,$A$2:$A$1001,A523,$E$2:$E$1001,"&lt;"&amp;E523))))</f>
        <v/>
      </c>
      <c r="R523" s="9">
        <f>IF(OR(Q523="",G523=""),"",G523-Q523)</f>
        <v/>
      </c>
      <c r="S523" s="9">
        <f>IF(R523="","",SUMIFS($R$2:$R$1001,$A$2:$A$1001,A523,$E$2:$E$1001,"&lt;="&amp;E523))</f>
        <v/>
      </c>
      <c r="T523" s="5">
        <f>IF(A523="","",IF(R523="","initial",IF(ABS(R523)&lt;=ShiftThresholdDays,"unchanged",IF(R523&gt;0,"delayed","accelerated"))))</f>
        <v/>
      </c>
    </row>
    <row r="524">
      <c r="A524" s="2" t="n"/>
      <c r="B524" s="2" t="n"/>
      <c r="C524" s="2" t="n"/>
      <c r="D524" s="2" t="n"/>
      <c r="E524" s="2" t="n"/>
      <c r="F524" s="2" t="n"/>
      <c r="G524" s="3" t="n"/>
      <c r="H524" s="2" t="n"/>
      <c r="I524" s="3" t="n"/>
      <c r="J524" s="2" t="n"/>
      <c r="K524" s="2" t="n"/>
      <c r="L524" s="2" t="n"/>
      <c r="M524" s="2" t="n"/>
      <c r="N524" s="2" t="n"/>
      <c r="O524" s="2" t="n"/>
      <c r="P524" s="2" t="n"/>
      <c r="Q524" s="4">
        <f>IF(OR(A524="",E524=""),"",IF(MAXIFS($E$2:$E$1001,$A$2:$A$1001,A524,$E$2:$E$1001,"&lt;"&amp;E524)=0,"",SUMIFS($G$2:$G$1001,$A$2:$A$1001,A524,$E$2:$E$1001,MAXIFS($E$2:$E$1001,$A$2:$A$1001,A524,$E$2:$E$1001,"&lt;"&amp;E524))))</f>
        <v/>
      </c>
      <c r="R524" s="9">
        <f>IF(OR(Q524="",G524=""),"",G524-Q524)</f>
        <v/>
      </c>
      <c r="S524" s="9">
        <f>IF(R524="","",SUMIFS($R$2:$R$1001,$A$2:$A$1001,A524,$E$2:$E$1001,"&lt;="&amp;E524))</f>
        <v/>
      </c>
      <c r="T524" s="5">
        <f>IF(A524="","",IF(R524="","initial",IF(ABS(R524)&lt;=ShiftThresholdDays,"unchanged",IF(R524&gt;0,"delayed","accelerated"))))</f>
        <v/>
      </c>
    </row>
    <row r="525">
      <c r="A525" s="2" t="n"/>
      <c r="B525" s="2" t="n"/>
      <c r="C525" s="2" t="n"/>
      <c r="D525" s="2" t="n"/>
      <c r="E525" s="2" t="n"/>
      <c r="F525" s="2" t="n"/>
      <c r="G525" s="3" t="n"/>
      <c r="H525" s="2" t="n"/>
      <c r="I525" s="3" t="n"/>
      <c r="J525" s="2" t="n"/>
      <c r="K525" s="2" t="n"/>
      <c r="L525" s="2" t="n"/>
      <c r="M525" s="2" t="n"/>
      <c r="N525" s="2" t="n"/>
      <c r="O525" s="2" t="n"/>
      <c r="P525" s="2" t="n"/>
      <c r="Q525" s="4">
        <f>IF(OR(A525="",E525=""),"",IF(MAXIFS($E$2:$E$1001,$A$2:$A$1001,A525,$E$2:$E$1001,"&lt;"&amp;E525)=0,"",SUMIFS($G$2:$G$1001,$A$2:$A$1001,A525,$E$2:$E$1001,MAXIFS($E$2:$E$1001,$A$2:$A$1001,A525,$E$2:$E$1001,"&lt;"&amp;E525))))</f>
        <v/>
      </c>
      <c r="R525" s="9">
        <f>IF(OR(Q525="",G525=""),"",G525-Q525)</f>
        <v/>
      </c>
      <c r="S525" s="9">
        <f>IF(R525="","",SUMIFS($R$2:$R$1001,$A$2:$A$1001,A525,$E$2:$E$1001,"&lt;="&amp;E525))</f>
        <v/>
      </c>
      <c r="T525" s="5">
        <f>IF(A525="","",IF(R525="","initial",IF(ABS(R525)&lt;=ShiftThresholdDays,"unchanged",IF(R525&gt;0,"delayed","accelerated"))))</f>
        <v/>
      </c>
    </row>
    <row r="526">
      <c r="A526" s="2" t="n"/>
      <c r="B526" s="2" t="n"/>
      <c r="C526" s="2" t="n"/>
      <c r="D526" s="2" t="n"/>
      <c r="E526" s="2" t="n"/>
      <c r="F526" s="2" t="n"/>
      <c r="G526" s="3" t="n"/>
      <c r="H526" s="2" t="n"/>
      <c r="I526" s="3" t="n"/>
      <c r="J526" s="2" t="n"/>
      <c r="K526" s="2" t="n"/>
      <c r="L526" s="2" t="n"/>
      <c r="M526" s="2" t="n"/>
      <c r="N526" s="2" t="n"/>
      <c r="O526" s="2" t="n"/>
      <c r="P526" s="2" t="n"/>
      <c r="Q526" s="4">
        <f>IF(OR(A526="",E526=""),"",IF(MAXIFS($E$2:$E$1001,$A$2:$A$1001,A526,$E$2:$E$1001,"&lt;"&amp;E526)=0,"",SUMIFS($G$2:$G$1001,$A$2:$A$1001,A526,$E$2:$E$1001,MAXIFS($E$2:$E$1001,$A$2:$A$1001,A526,$E$2:$E$1001,"&lt;"&amp;E526))))</f>
        <v/>
      </c>
      <c r="R526" s="9">
        <f>IF(OR(Q526="",G526=""),"",G526-Q526)</f>
        <v/>
      </c>
      <c r="S526" s="9">
        <f>IF(R526="","",SUMIFS($R$2:$R$1001,$A$2:$A$1001,A526,$E$2:$E$1001,"&lt;="&amp;E526))</f>
        <v/>
      </c>
      <c r="T526" s="5">
        <f>IF(A526="","",IF(R526="","initial",IF(ABS(R526)&lt;=ShiftThresholdDays,"unchanged",IF(R526&gt;0,"delayed","accelerated"))))</f>
        <v/>
      </c>
    </row>
    <row r="527">
      <c r="A527" s="2" t="n"/>
      <c r="B527" s="2" t="n"/>
      <c r="C527" s="2" t="n"/>
      <c r="D527" s="2" t="n"/>
      <c r="E527" s="2" t="n"/>
      <c r="F527" s="2" t="n"/>
      <c r="G527" s="3" t="n"/>
      <c r="H527" s="2" t="n"/>
      <c r="I527" s="3" t="n"/>
      <c r="J527" s="2" t="n"/>
      <c r="K527" s="2" t="n"/>
      <c r="L527" s="2" t="n"/>
      <c r="M527" s="2" t="n"/>
      <c r="N527" s="2" t="n"/>
      <c r="O527" s="2" t="n"/>
      <c r="P527" s="2" t="n"/>
      <c r="Q527" s="4">
        <f>IF(OR(A527="",E527=""),"",IF(MAXIFS($E$2:$E$1001,$A$2:$A$1001,A527,$E$2:$E$1001,"&lt;"&amp;E527)=0,"",SUMIFS($G$2:$G$1001,$A$2:$A$1001,A527,$E$2:$E$1001,MAXIFS($E$2:$E$1001,$A$2:$A$1001,A527,$E$2:$E$1001,"&lt;"&amp;E527))))</f>
        <v/>
      </c>
      <c r="R527" s="9">
        <f>IF(OR(Q527="",G527=""),"",G527-Q527)</f>
        <v/>
      </c>
      <c r="S527" s="9">
        <f>IF(R527="","",SUMIFS($R$2:$R$1001,$A$2:$A$1001,A527,$E$2:$E$1001,"&lt;="&amp;E527))</f>
        <v/>
      </c>
      <c r="T527" s="5">
        <f>IF(A527="","",IF(R527="","initial",IF(ABS(R527)&lt;=ShiftThresholdDays,"unchanged",IF(R527&gt;0,"delayed","accelerated"))))</f>
        <v/>
      </c>
    </row>
    <row r="528">
      <c r="A528" s="2" t="n"/>
      <c r="B528" s="2" t="n"/>
      <c r="C528" s="2" t="n"/>
      <c r="D528" s="2" t="n"/>
      <c r="E528" s="2" t="n"/>
      <c r="F528" s="2" t="n"/>
      <c r="G528" s="3" t="n"/>
      <c r="H528" s="2" t="n"/>
      <c r="I528" s="3" t="n"/>
      <c r="J528" s="2" t="n"/>
      <c r="K528" s="2" t="n"/>
      <c r="L528" s="2" t="n"/>
      <c r="M528" s="2" t="n"/>
      <c r="N528" s="2" t="n"/>
      <c r="O528" s="2" t="n"/>
      <c r="P528" s="2" t="n"/>
      <c r="Q528" s="4">
        <f>IF(OR(A528="",E528=""),"",IF(MAXIFS($E$2:$E$1001,$A$2:$A$1001,A528,$E$2:$E$1001,"&lt;"&amp;E528)=0,"",SUMIFS($G$2:$G$1001,$A$2:$A$1001,A528,$E$2:$E$1001,MAXIFS($E$2:$E$1001,$A$2:$A$1001,A528,$E$2:$E$1001,"&lt;"&amp;E528))))</f>
        <v/>
      </c>
      <c r="R528" s="9">
        <f>IF(OR(Q528="",G528=""),"",G528-Q528)</f>
        <v/>
      </c>
      <c r="S528" s="9">
        <f>IF(R528="","",SUMIFS($R$2:$R$1001,$A$2:$A$1001,A528,$E$2:$E$1001,"&lt;="&amp;E528))</f>
        <v/>
      </c>
      <c r="T528" s="5">
        <f>IF(A528="","",IF(R528="","initial",IF(ABS(R528)&lt;=ShiftThresholdDays,"unchanged",IF(R528&gt;0,"delayed","accelerated"))))</f>
        <v/>
      </c>
    </row>
    <row r="529">
      <c r="A529" s="2" t="n"/>
      <c r="B529" s="2" t="n"/>
      <c r="C529" s="2" t="n"/>
      <c r="D529" s="2" t="n"/>
      <c r="E529" s="2" t="n"/>
      <c r="F529" s="2" t="n"/>
      <c r="G529" s="3" t="n"/>
      <c r="H529" s="2" t="n"/>
      <c r="I529" s="3" t="n"/>
      <c r="J529" s="2" t="n"/>
      <c r="K529" s="2" t="n"/>
      <c r="L529" s="2" t="n"/>
      <c r="M529" s="2" t="n"/>
      <c r="N529" s="2" t="n"/>
      <c r="O529" s="2" t="n"/>
      <c r="P529" s="2" t="n"/>
      <c r="Q529" s="4">
        <f>IF(OR(A529="",E529=""),"",IF(MAXIFS($E$2:$E$1001,$A$2:$A$1001,A529,$E$2:$E$1001,"&lt;"&amp;E529)=0,"",SUMIFS($G$2:$G$1001,$A$2:$A$1001,A529,$E$2:$E$1001,MAXIFS($E$2:$E$1001,$A$2:$A$1001,A529,$E$2:$E$1001,"&lt;"&amp;E529))))</f>
        <v/>
      </c>
      <c r="R529" s="9">
        <f>IF(OR(Q529="",G529=""),"",G529-Q529)</f>
        <v/>
      </c>
      <c r="S529" s="9">
        <f>IF(R529="","",SUMIFS($R$2:$R$1001,$A$2:$A$1001,A529,$E$2:$E$1001,"&lt;="&amp;E529))</f>
        <v/>
      </c>
      <c r="T529" s="5">
        <f>IF(A529="","",IF(R529="","initial",IF(ABS(R529)&lt;=ShiftThresholdDays,"unchanged",IF(R529&gt;0,"delayed","accelerated"))))</f>
        <v/>
      </c>
    </row>
    <row r="530">
      <c r="A530" s="2" t="n"/>
      <c r="B530" s="2" t="n"/>
      <c r="C530" s="2" t="n"/>
      <c r="D530" s="2" t="n"/>
      <c r="E530" s="2" t="n"/>
      <c r="F530" s="2" t="n"/>
      <c r="G530" s="3" t="n"/>
      <c r="H530" s="2" t="n"/>
      <c r="I530" s="3" t="n"/>
      <c r="J530" s="2" t="n"/>
      <c r="K530" s="2" t="n"/>
      <c r="L530" s="2" t="n"/>
      <c r="M530" s="2" t="n"/>
      <c r="N530" s="2" t="n"/>
      <c r="O530" s="2" t="n"/>
      <c r="P530" s="2" t="n"/>
      <c r="Q530" s="4">
        <f>IF(OR(A530="",E530=""),"",IF(MAXIFS($E$2:$E$1001,$A$2:$A$1001,A530,$E$2:$E$1001,"&lt;"&amp;E530)=0,"",SUMIFS($G$2:$G$1001,$A$2:$A$1001,A530,$E$2:$E$1001,MAXIFS($E$2:$E$1001,$A$2:$A$1001,A530,$E$2:$E$1001,"&lt;"&amp;E530))))</f>
        <v/>
      </c>
      <c r="R530" s="9">
        <f>IF(OR(Q530="",G530=""),"",G530-Q530)</f>
        <v/>
      </c>
      <c r="S530" s="9">
        <f>IF(R530="","",SUMIFS($R$2:$R$1001,$A$2:$A$1001,A530,$E$2:$E$1001,"&lt;="&amp;E530))</f>
        <v/>
      </c>
      <c r="T530" s="5">
        <f>IF(A530="","",IF(R530="","initial",IF(ABS(R530)&lt;=ShiftThresholdDays,"unchanged",IF(R530&gt;0,"delayed","accelerated"))))</f>
        <v/>
      </c>
    </row>
    <row r="531">
      <c r="A531" s="2" t="n"/>
      <c r="B531" s="2" t="n"/>
      <c r="C531" s="2" t="n"/>
      <c r="D531" s="2" t="n"/>
      <c r="E531" s="2" t="n"/>
      <c r="F531" s="2" t="n"/>
      <c r="G531" s="3" t="n"/>
      <c r="H531" s="2" t="n"/>
      <c r="I531" s="3" t="n"/>
      <c r="J531" s="2" t="n"/>
      <c r="K531" s="2" t="n"/>
      <c r="L531" s="2" t="n"/>
      <c r="M531" s="2" t="n"/>
      <c r="N531" s="2" t="n"/>
      <c r="O531" s="2" t="n"/>
      <c r="P531" s="2" t="n"/>
      <c r="Q531" s="4">
        <f>IF(OR(A531="",E531=""),"",IF(MAXIFS($E$2:$E$1001,$A$2:$A$1001,A531,$E$2:$E$1001,"&lt;"&amp;E531)=0,"",SUMIFS($G$2:$G$1001,$A$2:$A$1001,A531,$E$2:$E$1001,MAXIFS($E$2:$E$1001,$A$2:$A$1001,A531,$E$2:$E$1001,"&lt;"&amp;E531))))</f>
        <v/>
      </c>
      <c r="R531" s="9">
        <f>IF(OR(Q531="",G531=""),"",G531-Q531)</f>
        <v/>
      </c>
      <c r="S531" s="9">
        <f>IF(R531="","",SUMIFS($R$2:$R$1001,$A$2:$A$1001,A531,$E$2:$E$1001,"&lt;="&amp;E531))</f>
        <v/>
      </c>
      <c r="T531" s="5">
        <f>IF(A531="","",IF(R531="","initial",IF(ABS(R531)&lt;=ShiftThresholdDays,"unchanged",IF(R531&gt;0,"delayed","accelerated"))))</f>
        <v/>
      </c>
    </row>
    <row r="532">
      <c r="A532" s="2" t="n"/>
      <c r="B532" s="2" t="n"/>
      <c r="C532" s="2" t="n"/>
      <c r="D532" s="2" t="n"/>
      <c r="E532" s="2" t="n"/>
      <c r="F532" s="2" t="n"/>
      <c r="G532" s="3" t="n"/>
      <c r="H532" s="2" t="n"/>
      <c r="I532" s="3" t="n"/>
      <c r="J532" s="2" t="n"/>
      <c r="K532" s="2" t="n"/>
      <c r="L532" s="2" t="n"/>
      <c r="M532" s="2" t="n"/>
      <c r="N532" s="2" t="n"/>
      <c r="O532" s="2" t="n"/>
      <c r="P532" s="2" t="n"/>
      <c r="Q532" s="4">
        <f>IF(OR(A532="",E532=""),"",IF(MAXIFS($E$2:$E$1001,$A$2:$A$1001,A532,$E$2:$E$1001,"&lt;"&amp;E532)=0,"",SUMIFS($G$2:$G$1001,$A$2:$A$1001,A532,$E$2:$E$1001,MAXIFS($E$2:$E$1001,$A$2:$A$1001,A532,$E$2:$E$1001,"&lt;"&amp;E532))))</f>
        <v/>
      </c>
      <c r="R532" s="9">
        <f>IF(OR(Q532="",G532=""),"",G532-Q532)</f>
        <v/>
      </c>
      <c r="S532" s="9">
        <f>IF(R532="","",SUMIFS($R$2:$R$1001,$A$2:$A$1001,A532,$E$2:$E$1001,"&lt;="&amp;E532))</f>
        <v/>
      </c>
      <c r="T532" s="5">
        <f>IF(A532="","",IF(R532="","initial",IF(ABS(R532)&lt;=ShiftThresholdDays,"unchanged",IF(R532&gt;0,"delayed","accelerated"))))</f>
        <v/>
      </c>
    </row>
    <row r="533">
      <c r="A533" s="2" t="n"/>
      <c r="B533" s="2" t="n"/>
      <c r="C533" s="2" t="n"/>
      <c r="D533" s="2" t="n"/>
      <c r="E533" s="2" t="n"/>
      <c r="F533" s="2" t="n"/>
      <c r="G533" s="3" t="n"/>
      <c r="H533" s="2" t="n"/>
      <c r="I533" s="3" t="n"/>
      <c r="J533" s="2" t="n"/>
      <c r="K533" s="2" t="n"/>
      <c r="L533" s="2" t="n"/>
      <c r="M533" s="2" t="n"/>
      <c r="N533" s="2" t="n"/>
      <c r="O533" s="2" t="n"/>
      <c r="P533" s="2" t="n"/>
      <c r="Q533" s="4">
        <f>IF(OR(A533="",E533=""),"",IF(MAXIFS($E$2:$E$1001,$A$2:$A$1001,A533,$E$2:$E$1001,"&lt;"&amp;E533)=0,"",SUMIFS($G$2:$G$1001,$A$2:$A$1001,A533,$E$2:$E$1001,MAXIFS($E$2:$E$1001,$A$2:$A$1001,A533,$E$2:$E$1001,"&lt;"&amp;E533))))</f>
        <v/>
      </c>
      <c r="R533" s="9">
        <f>IF(OR(Q533="",G533=""),"",G533-Q533)</f>
        <v/>
      </c>
      <c r="S533" s="9">
        <f>IF(R533="","",SUMIFS($R$2:$R$1001,$A$2:$A$1001,A533,$E$2:$E$1001,"&lt;="&amp;E533))</f>
        <v/>
      </c>
      <c r="T533" s="5">
        <f>IF(A533="","",IF(R533="","initial",IF(ABS(R533)&lt;=ShiftThresholdDays,"unchanged",IF(R533&gt;0,"delayed","accelerated"))))</f>
        <v/>
      </c>
    </row>
    <row r="534">
      <c r="A534" s="2" t="n"/>
      <c r="B534" s="2" t="n"/>
      <c r="C534" s="2" t="n"/>
      <c r="D534" s="2" t="n"/>
      <c r="E534" s="2" t="n"/>
      <c r="F534" s="2" t="n"/>
      <c r="G534" s="3" t="n"/>
      <c r="H534" s="2" t="n"/>
      <c r="I534" s="3" t="n"/>
      <c r="J534" s="2" t="n"/>
      <c r="K534" s="2" t="n"/>
      <c r="L534" s="2" t="n"/>
      <c r="M534" s="2" t="n"/>
      <c r="N534" s="2" t="n"/>
      <c r="O534" s="2" t="n"/>
      <c r="P534" s="2" t="n"/>
      <c r="Q534" s="4">
        <f>IF(OR(A534="",E534=""),"",IF(MAXIFS($E$2:$E$1001,$A$2:$A$1001,A534,$E$2:$E$1001,"&lt;"&amp;E534)=0,"",SUMIFS($G$2:$G$1001,$A$2:$A$1001,A534,$E$2:$E$1001,MAXIFS($E$2:$E$1001,$A$2:$A$1001,A534,$E$2:$E$1001,"&lt;"&amp;E534))))</f>
        <v/>
      </c>
      <c r="R534" s="9">
        <f>IF(OR(Q534="",G534=""),"",G534-Q534)</f>
        <v/>
      </c>
      <c r="S534" s="9">
        <f>IF(R534="","",SUMIFS($R$2:$R$1001,$A$2:$A$1001,A534,$E$2:$E$1001,"&lt;="&amp;E534))</f>
        <v/>
      </c>
      <c r="T534" s="5">
        <f>IF(A534="","",IF(R534="","initial",IF(ABS(R534)&lt;=ShiftThresholdDays,"unchanged",IF(R534&gt;0,"delayed","accelerated"))))</f>
        <v/>
      </c>
    </row>
    <row r="535">
      <c r="A535" s="2" t="n"/>
      <c r="B535" s="2" t="n"/>
      <c r="C535" s="2" t="n"/>
      <c r="D535" s="2" t="n"/>
      <c r="E535" s="2" t="n"/>
      <c r="F535" s="2" t="n"/>
      <c r="G535" s="3" t="n"/>
      <c r="H535" s="2" t="n"/>
      <c r="I535" s="3" t="n"/>
      <c r="J535" s="2" t="n"/>
      <c r="K535" s="2" t="n"/>
      <c r="L535" s="2" t="n"/>
      <c r="M535" s="2" t="n"/>
      <c r="N535" s="2" t="n"/>
      <c r="O535" s="2" t="n"/>
      <c r="P535" s="2" t="n"/>
      <c r="Q535" s="4">
        <f>IF(OR(A535="",E535=""),"",IF(MAXIFS($E$2:$E$1001,$A$2:$A$1001,A535,$E$2:$E$1001,"&lt;"&amp;E535)=0,"",SUMIFS($G$2:$G$1001,$A$2:$A$1001,A535,$E$2:$E$1001,MAXIFS($E$2:$E$1001,$A$2:$A$1001,A535,$E$2:$E$1001,"&lt;"&amp;E535))))</f>
        <v/>
      </c>
      <c r="R535" s="9">
        <f>IF(OR(Q535="",G535=""),"",G535-Q535)</f>
        <v/>
      </c>
      <c r="S535" s="9">
        <f>IF(R535="","",SUMIFS($R$2:$R$1001,$A$2:$A$1001,A535,$E$2:$E$1001,"&lt;="&amp;E535))</f>
        <v/>
      </c>
      <c r="T535" s="5">
        <f>IF(A535="","",IF(R535="","initial",IF(ABS(R535)&lt;=ShiftThresholdDays,"unchanged",IF(R535&gt;0,"delayed","accelerated"))))</f>
        <v/>
      </c>
    </row>
    <row r="536">
      <c r="A536" s="2" t="n"/>
      <c r="B536" s="2" t="n"/>
      <c r="C536" s="2" t="n"/>
      <c r="D536" s="2" t="n"/>
      <c r="E536" s="2" t="n"/>
      <c r="F536" s="2" t="n"/>
      <c r="G536" s="3" t="n"/>
      <c r="H536" s="2" t="n"/>
      <c r="I536" s="3" t="n"/>
      <c r="J536" s="2" t="n"/>
      <c r="K536" s="2" t="n"/>
      <c r="L536" s="2" t="n"/>
      <c r="M536" s="2" t="n"/>
      <c r="N536" s="2" t="n"/>
      <c r="O536" s="2" t="n"/>
      <c r="P536" s="2" t="n"/>
      <c r="Q536" s="4">
        <f>IF(OR(A536="",E536=""),"",IF(MAXIFS($E$2:$E$1001,$A$2:$A$1001,A536,$E$2:$E$1001,"&lt;"&amp;E536)=0,"",SUMIFS($G$2:$G$1001,$A$2:$A$1001,A536,$E$2:$E$1001,MAXIFS($E$2:$E$1001,$A$2:$A$1001,A536,$E$2:$E$1001,"&lt;"&amp;E536))))</f>
        <v/>
      </c>
      <c r="R536" s="9">
        <f>IF(OR(Q536="",G536=""),"",G536-Q536)</f>
        <v/>
      </c>
      <c r="S536" s="9">
        <f>IF(R536="","",SUMIFS($R$2:$R$1001,$A$2:$A$1001,A536,$E$2:$E$1001,"&lt;="&amp;E536))</f>
        <v/>
      </c>
      <c r="T536" s="5">
        <f>IF(A536="","",IF(R536="","initial",IF(ABS(R536)&lt;=ShiftThresholdDays,"unchanged",IF(R536&gt;0,"delayed","accelerated"))))</f>
        <v/>
      </c>
    </row>
    <row r="537">
      <c r="A537" s="2" t="n"/>
      <c r="B537" s="2" t="n"/>
      <c r="C537" s="2" t="n"/>
      <c r="D537" s="2" t="n"/>
      <c r="E537" s="2" t="n"/>
      <c r="F537" s="2" t="n"/>
      <c r="G537" s="3" t="n"/>
      <c r="H537" s="2" t="n"/>
      <c r="I537" s="3" t="n"/>
      <c r="J537" s="2" t="n"/>
      <c r="K537" s="2" t="n"/>
      <c r="L537" s="2" t="n"/>
      <c r="M537" s="2" t="n"/>
      <c r="N537" s="2" t="n"/>
      <c r="O537" s="2" t="n"/>
      <c r="P537" s="2" t="n"/>
      <c r="Q537" s="4">
        <f>IF(OR(A537="",E537=""),"",IF(MAXIFS($E$2:$E$1001,$A$2:$A$1001,A537,$E$2:$E$1001,"&lt;"&amp;E537)=0,"",SUMIFS($G$2:$G$1001,$A$2:$A$1001,A537,$E$2:$E$1001,MAXIFS($E$2:$E$1001,$A$2:$A$1001,A537,$E$2:$E$1001,"&lt;"&amp;E537))))</f>
        <v/>
      </c>
      <c r="R537" s="9">
        <f>IF(OR(Q537="",G537=""),"",G537-Q537)</f>
        <v/>
      </c>
      <c r="S537" s="9">
        <f>IF(R537="","",SUMIFS($R$2:$R$1001,$A$2:$A$1001,A537,$E$2:$E$1001,"&lt;="&amp;E537))</f>
        <v/>
      </c>
      <c r="T537" s="5">
        <f>IF(A537="","",IF(R537="","initial",IF(ABS(R537)&lt;=ShiftThresholdDays,"unchanged",IF(R537&gt;0,"delayed","accelerated"))))</f>
        <v/>
      </c>
    </row>
    <row r="538">
      <c r="A538" s="2" t="n"/>
      <c r="B538" s="2" t="n"/>
      <c r="C538" s="2" t="n"/>
      <c r="D538" s="2" t="n"/>
      <c r="E538" s="2" t="n"/>
      <c r="F538" s="2" t="n"/>
      <c r="G538" s="3" t="n"/>
      <c r="H538" s="2" t="n"/>
      <c r="I538" s="3" t="n"/>
      <c r="J538" s="2" t="n"/>
      <c r="K538" s="2" t="n"/>
      <c r="L538" s="2" t="n"/>
      <c r="M538" s="2" t="n"/>
      <c r="N538" s="2" t="n"/>
      <c r="O538" s="2" t="n"/>
      <c r="P538" s="2" t="n"/>
      <c r="Q538" s="4">
        <f>IF(OR(A538="",E538=""),"",IF(MAXIFS($E$2:$E$1001,$A$2:$A$1001,A538,$E$2:$E$1001,"&lt;"&amp;E538)=0,"",SUMIFS($G$2:$G$1001,$A$2:$A$1001,A538,$E$2:$E$1001,MAXIFS($E$2:$E$1001,$A$2:$A$1001,A538,$E$2:$E$1001,"&lt;"&amp;E538))))</f>
        <v/>
      </c>
      <c r="R538" s="9">
        <f>IF(OR(Q538="",G538=""),"",G538-Q538)</f>
        <v/>
      </c>
      <c r="S538" s="9">
        <f>IF(R538="","",SUMIFS($R$2:$R$1001,$A$2:$A$1001,A538,$E$2:$E$1001,"&lt;="&amp;E538))</f>
        <v/>
      </c>
      <c r="T538" s="5">
        <f>IF(A538="","",IF(R538="","initial",IF(ABS(R538)&lt;=ShiftThresholdDays,"unchanged",IF(R538&gt;0,"delayed","accelerated"))))</f>
        <v/>
      </c>
    </row>
    <row r="539">
      <c r="A539" s="2" t="n"/>
      <c r="B539" s="2" t="n"/>
      <c r="C539" s="2" t="n"/>
      <c r="D539" s="2" t="n"/>
      <c r="E539" s="2" t="n"/>
      <c r="F539" s="2" t="n"/>
      <c r="G539" s="3" t="n"/>
      <c r="H539" s="2" t="n"/>
      <c r="I539" s="3" t="n"/>
      <c r="J539" s="2" t="n"/>
      <c r="K539" s="2" t="n"/>
      <c r="L539" s="2" t="n"/>
      <c r="M539" s="2" t="n"/>
      <c r="N539" s="2" t="n"/>
      <c r="O539" s="2" t="n"/>
      <c r="P539" s="2" t="n"/>
      <c r="Q539" s="4">
        <f>IF(OR(A539="",E539=""),"",IF(MAXIFS($E$2:$E$1001,$A$2:$A$1001,A539,$E$2:$E$1001,"&lt;"&amp;E539)=0,"",SUMIFS($G$2:$G$1001,$A$2:$A$1001,A539,$E$2:$E$1001,MAXIFS($E$2:$E$1001,$A$2:$A$1001,A539,$E$2:$E$1001,"&lt;"&amp;E539))))</f>
        <v/>
      </c>
      <c r="R539" s="9">
        <f>IF(OR(Q539="",G539=""),"",G539-Q539)</f>
        <v/>
      </c>
      <c r="S539" s="9">
        <f>IF(R539="","",SUMIFS($R$2:$R$1001,$A$2:$A$1001,A539,$E$2:$E$1001,"&lt;="&amp;E539))</f>
        <v/>
      </c>
      <c r="T539" s="5">
        <f>IF(A539="","",IF(R539="","initial",IF(ABS(R539)&lt;=ShiftThresholdDays,"unchanged",IF(R539&gt;0,"delayed","accelerated"))))</f>
        <v/>
      </c>
    </row>
    <row r="540">
      <c r="A540" s="2" t="n"/>
      <c r="B540" s="2" t="n"/>
      <c r="C540" s="2" t="n"/>
      <c r="D540" s="2" t="n"/>
      <c r="E540" s="2" t="n"/>
      <c r="F540" s="2" t="n"/>
      <c r="G540" s="3" t="n"/>
      <c r="H540" s="2" t="n"/>
      <c r="I540" s="3" t="n"/>
      <c r="J540" s="2" t="n"/>
      <c r="K540" s="2" t="n"/>
      <c r="L540" s="2" t="n"/>
      <c r="M540" s="2" t="n"/>
      <c r="N540" s="2" t="n"/>
      <c r="O540" s="2" t="n"/>
      <c r="P540" s="2" t="n"/>
      <c r="Q540" s="4">
        <f>IF(OR(A540="",E540=""),"",IF(MAXIFS($E$2:$E$1001,$A$2:$A$1001,A540,$E$2:$E$1001,"&lt;"&amp;E540)=0,"",SUMIFS($G$2:$G$1001,$A$2:$A$1001,A540,$E$2:$E$1001,MAXIFS($E$2:$E$1001,$A$2:$A$1001,A540,$E$2:$E$1001,"&lt;"&amp;E540))))</f>
        <v/>
      </c>
      <c r="R540" s="9">
        <f>IF(OR(Q540="",G540=""),"",G540-Q540)</f>
        <v/>
      </c>
      <c r="S540" s="9">
        <f>IF(R540="","",SUMIFS($R$2:$R$1001,$A$2:$A$1001,A540,$E$2:$E$1001,"&lt;="&amp;E540))</f>
        <v/>
      </c>
      <c r="T540" s="5">
        <f>IF(A540="","",IF(R540="","initial",IF(ABS(R540)&lt;=ShiftThresholdDays,"unchanged",IF(R540&gt;0,"delayed","accelerated"))))</f>
        <v/>
      </c>
    </row>
    <row r="541">
      <c r="A541" s="2" t="n"/>
      <c r="B541" s="2" t="n"/>
      <c r="C541" s="2" t="n"/>
      <c r="D541" s="2" t="n"/>
      <c r="E541" s="2" t="n"/>
      <c r="F541" s="2" t="n"/>
      <c r="G541" s="3" t="n"/>
      <c r="H541" s="2" t="n"/>
      <c r="I541" s="3" t="n"/>
      <c r="J541" s="2" t="n"/>
      <c r="K541" s="2" t="n"/>
      <c r="L541" s="2" t="n"/>
      <c r="M541" s="2" t="n"/>
      <c r="N541" s="2" t="n"/>
      <c r="O541" s="2" t="n"/>
      <c r="P541" s="2" t="n"/>
      <c r="Q541" s="4">
        <f>IF(OR(A541="",E541=""),"",IF(MAXIFS($E$2:$E$1001,$A$2:$A$1001,A541,$E$2:$E$1001,"&lt;"&amp;E541)=0,"",SUMIFS($G$2:$G$1001,$A$2:$A$1001,A541,$E$2:$E$1001,MAXIFS($E$2:$E$1001,$A$2:$A$1001,A541,$E$2:$E$1001,"&lt;"&amp;E541))))</f>
        <v/>
      </c>
      <c r="R541" s="9">
        <f>IF(OR(Q541="",G541=""),"",G541-Q541)</f>
        <v/>
      </c>
      <c r="S541" s="9">
        <f>IF(R541="","",SUMIFS($R$2:$R$1001,$A$2:$A$1001,A541,$E$2:$E$1001,"&lt;="&amp;E541))</f>
        <v/>
      </c>
      <c r="T541" s="5">
        <f>IF(A541="","",IF(R541="","initial",IF(ABS(R541)&lt;=ShiftThresholdDays,"unchanged",IF(R541&gt;0,"delayed","accelerated"))))</f>
        <v/>
      </c>
    </row>
    <row r="542">
      <c r="A542" s="2" t="n"/>
      <c r="B542" s="2" t="n"/>
      <c r="C542" s="2" t="n"/>
      <c r="D542" s="2" t="n"/>
      <c r="E542" s="2" t="n"/>
      <c r="F542" s="2" t="n"/>
      <c r="G542" s="3" t="n"/>
      <c r="H542" s="2" t="n"/>
      <c r="I542" s="3" t="n"/>
      <c r="J542" s="2" t="n"/>
      <c r="K542" s="2" t="n"/>
      <c r="L542" s="2" t="n"/>
      <c r="M542" s="2" t="n"/>
      <c r="N542" s="2" t="n"/>
      <c r="O542" s="2" t="n"/>
      <c r="P542" s="2" t="n"/>
      <c r="Q542" s="4">
        <f>IF(OR(A542="",E542=""),"",IF(MAXIFS($E$2:$E$1001,$A$2:$A$1001,A542,$E$2:$E$1001,"&lt;"&amp;E542)=0,"",SUMIFS($G$2:$G$1001,$A$2:$A$1001,A542,$E$2:$E$1001,MAXIFS($E$2:$E$1001,$A$2:$A$1001,A542,$E$2:$E$1001,"&lt;"&amp;E542))))</f>
        <v/>
      </c>
      <c r="R542" s="9">
        <f>IF(OR(Q542="",G542=""),"",G542-Q542)</f>
        <v/>
      </c>
      <c r="S542" s="9">
        <f>IF(R542="","",SUMIFS($R$2:$R$1001,$A$2:$A$1001,A542,$E$2:$E$1001,"&lt;="&amp;E542))</f>
        <v/>
      </c>
      <c r="T542" s="5">
        <f>IF(A542="","",IF(R542="","initial",IF(ABS(R542)&lt;=ShiftThresholdDays,"unchanged",IF(R542&gt;0,"delayed","accelerated"))))</f>
        <v/>
      </c>
    </row>
    <row r="543">
      <c r="A543" s="2" t="n"/>
      <c r="B543" s="2" t="n"/>
      <c r="C543" s="2" t="n"/>
      <c r="D543" s="2" t="n"/>
      <c r="E543" s="2" t="n"/>
      <c r="F543" s="2" t="n"/>
      <c r="G543" s="3" t="n"/>
      <c r="H543" s="2" t="n"/>
      <c r="I543" s="3" t="n"/>
      <c r="J543" s="2" t="n"/>
      <c r="K543" s="2" t="n"/>
      <c r="L543" s="2" t="n"/>
      <c r="M543" s="2" t="n"/>
      <c r="N543" s="2" t="n"/>
      <c r="O543" s="2" t="n"/>
      <c r="P543" s="2" t="n"/>
      <c r="Q543" s="4">
        <f>IF(OR(A543="",E543=""),"",IF(MAXIFS($E$2:$E$1001,$A$2:$A$1001,A543,$E$2:$E$1001,"&lt;"&amp;E543)=0,"",SUMIFS($G$2:$G$1001,$A$2:$A$1001,A543,$E$2:$E$1001,MAXIFS($E$2:$E$1001,$A$2:$A$1001,A543,$E$2:$E$1001,"&lt;"&amp;E543))))</f>
        <v/>
      </c>
      <c r="R543" s="9">
        <f>IF(OR(Q543="",G543=""),"",G543-Q543)</f>
        <v/>
      </c>
      <c r="S543" s="9">
        <f>IF(R543="","",SUMIFS($R$2:$R$1001,$A$2:$A$1001,A543,$E$2:$E$1001,"&lt;="&amp;E543))</f>
        <v/>
      </c>
      <c r="T543" s="5">
        <f>IF(A543="","",IF(R543="","initial",IF(ABS(R543)&lt;=ShiftThresholdDays,"unchanged",IF(R543&gt;0,"delayed","accelerated"))))</f>
        <v/>
      </c>
    </row>
    <row r="544">
      <c r="A544" s="2" t="n"/>
      <c r="B544" s="2" t="n"/>
      <c r="C544" s="2" t="n"/>
      <c r="D544" s="2" t="n"/>
      <c r="E544" s="2" t="n"/>
      <c r="F544" s="2" t="n"/>
      <c r="G544" s="3" t="n"/>
      <c r="H544" s="2" t="n"/>
      <c r="I544" s="3" t="n"/>
      <c r="J544" s="2" t="n"/>
      <c r="K544" s="2" t="n"/>
      <c r="L544" s="2" t="n"/>
      <c r="M544" s="2" t="n"/>
      <c r="N544" s="2" t="n"/>
      <c r="O544" s="2" t="n"/>
      <c r="P544" s="2" t="n"/>
      <c r="Q544" s="4">
        <f>IF(OR(A544="",E544=""),"",IF(MAXIFS($E$2:$E$1001,$A$2:$A$1001,A544,$E$2:$E$1001,"&lt;"&amp;E544)=0,"",SUMIFS($G$2:$G$1001,$A$2:$A$1001,A544,$E$2:$E$1001,MAXIFS($E$2:$E$1001,$A$2:$A$1001,A544,$E$2:$E$1001,"&lt;"&amp;E544))))</f>
        <v/>
      </c>
      <c r="R544" s="9">
        <f>IF(OR(Q544="",G544=""),"",G544-Q544)</f>
        <v/>
      </c>
      <c r="S544" s="9">
        <f>IF(R544="","",SUMIFS($R$2:$R$1001,$A$2:$A$1001,A544,$E$2:$E$1001,"&lt;="&amp;E544))</f>
        <v/>
      </c>
      <c r="T544" s="5">
        <f>IF(A544="","",IF(R544="","initial",IF(ABS(R544)&lt;=ShiftThresholdDays,"unchanged",IF(R544&gt;0,"delayed","accelerated"))))</f>
        <v/>
      </c>
    </row>
    <row r="545">
      <c r="A545" s="2" t="n"/>
      <c r="B545" s="2" t="n"/>
      <c r="C545" s="2" t="n"/>
      <c r="D545" s="2" t="n"/>
      <c r="E545" s="2" t="n"/>
      <c r="F545" s="2" t="n"/>
      <c r="G545" s="3" t="n"/>
      <c r="H545" s="2" t="n"/>
      <c r="I545" s="3" t="n"/>
      <c r="J545" s="2" t="n"/>
      <c r="K545" s="2" t="n"/>
      <c r="L545" s="2" t="n"/>
      <c r="M545" s="2" t="n"/>
      <c r="N545" s="2" t="n"/>
      <c r="O545" s="2" t="n"/>
      <c r="P545" s="2" t="n"/>
      <c r="Q545" s="4">
        <f>IF(OR(A545="",E545=""),"",IF(MAXIFS($E$2:$E$1001,$A$2:$A$1001,A545,$E$2:$E$1001,"&lt;"&amp;E545)=0,"",SUMIFS($G$2:$G$1001,$A$2:$A$1001,A545,$E$2:$E$1001,MAXIFS($E$2:$E$1001,$A$2:$A$1001,A545,$E$2:$E$1001,"&lt;"&amp;E545))))</f>
        <v/>
      </c>
      <c r="R545" s="9">
        <f>IF(OR(Q545="",G545=""),"",G545-Q545)</f>
        <v/>
      </c>
      <c r="S545" s="9">
        <f>IF(R545="","",SUMIFS($R$2:$R$1001,$A$2:$A$1001,A545,$E$2:$E$1001,"&lt;="&amp;E545))</f>
        <v/>
      </c>
      <c r="T545" s="5">
        <f>IF(A545="","",IF(R545="","initial",IF(ABS(R545)&lt;=ShiftThresholdDays,"unchanged",IF(R545&gt;0,"delayed","accelerated"))))</f>
        <v/>
      </c>
    </row>
    <row r="546">
      <c r="A546" s="2" t="n"/>
      <c r="B546" s="2" t="n"/>
      <c r="C546" s="2" t="n"/>
      <c r="D546" s="2" t="n"/>
      <c r="E546" s="2" t="n"/>
      <c r="F546" s="2" t="n"/>
      <c r="G546" s="3" t="n"/>
      <c r="H546" s="2" t="n"/>
      <c r="I546" s="3" t="n"/>
      <c r="J546" s="2" t="n"/>
      <c r="K546" s="2" t="n"/>
      <c r="L546" s="2" t="n"/>
      <c r="M546" s="2" t="n"/>
      <c r="N546" s="2" t="n"/>
      <c r="O546" s="2" t="n"/>
      <c r="P546" s="2" t="n"/>
      <c r="Q546" s="4">
        <f>IF(OR(A546="",E546=""),"",IF(MAXIFS($E$2:$E$1001,$A$2:$A$1001,A546,$E$2:$E$1001,"&lt;"&amp;E546)=0,"",SUMIFS($G$2:$G$1001,$A$2:$A$1001,A546,$E$2:$E$1001,MAXIFS($E$2:$E$1001,$A$2:$A$1001,A546,$E$2:$E$1001,"&lt;"&amp;E546))))</f>
        <v/>
      </c>
      <c r="R546" s="9">
        <f>IF(OR(Q546="",G546=""),"",G546-Q546)</f>
        <v/>
      </c>
      <c r="S546" s="9">
        <f>IF(R546="","",SUMIFS($R$2:$R$1001,$A$2:$A$1001,A546,$E$2:$E$1001,"&lt;="&amp;E546))</f>
        <v/>
      </c>
      <c r="T546" s="5">
        <f>IF(A546="","",IF(R546="","initial",IF(ABS(R546)&lt;=ShiftThresholdDays,"unchanged",IF(R546&gt;0,"delayed","accelerated"))))</f>
        <v/>
      </c>
    </row>
    <row r="547">
      <c r="A547" s="2" t="n"/>
      <c r="B547" s="2" t="n"/>
      <c r="C547" s="2" t="n"/>
      <c r="D547" s="2" t="n"/>
      <c r="E547" s="2" t="n"/>
      <c r="F547" s="2" t="n"/>
      <c r="G547" s="3" t="n"/>
      <c r="H547" s="2" t="n"/>
      <c r="I547" s="3" t="n"/>
      <c r="J547" s="2" t="n"/>
      <c r="K547" s="2" t="n"/>
      <c r="L547" s="2" t="n"/>
      <c r="M547" s="2" t="n"/>
      <c r="N547" s="2" t="n"/>
      <c r="O547" s="2" t="n"/>
      <c r="P547" s="2" t="n"/>
      <c r="Q547" s="4">
        <f>IF(OR(A547="",E547=""),"",IF(MAXIFS($E$2:$E$1001,$A$2:$A$1001,A547,$E$2:$E$1001,"&lt;"&amp;E547)=0,"",SUMIFS($G$2:$G$1001,$A$2:$A$1001,A547,$E$2:$E$1001,MAXIFS($E$2:$E$1001,$A$2:$A$1001,A547,$E$2:$E$1001,"&lt;"&amp;E547))))</f>
        <v/>
      </c>
      <c r="R547" s="9">
        <f>IF(OR(Q547="",G547=""),"",G547-Q547)</f>
        <v/>
      </c>
      <c r="S547" s="9">
        <f>IF(R547="","",SUMIFS($R$2:$R$1001,$A$2:$A$1001,A547,$E$2:$E$1001,"&lt;="&amp;E547))</f>
        <v/>
      </c>
      <c r="T547" s="5">
        <f>IF(A547="","",IF(R547="","initial",IF(ABS(R547)&lt;=ShiftThresholdDays,"unchanged",IF(R547&gt;0,"delayed","accelerated"))))</f>
        <v/>
      </c>
    </row>
    <row r="548">
      <c r="A548" s="2" t="n"/>
      <c r="B548" s="2" t="n"/>
      <c r="C548" s="2" t="n"/>
      <c r="D548" s="2" t="n"/>
      <c r="E548" s="2" t="n"/>
      <c r="F548" s="2" t="n"/>
      <c r="G548" s="3" t="n"/>
      <c r="H548" s="2" t="n"/>
      <c r="I548" s="3" t="n"/>
      <c r="J548" s="2" t="n"/>
      <c r="K548" s="2" t="n"/>
      <c r="L548" s="2" t="n"/>
      <c r="M548" s="2" t="n"/>
      <c r="N548" s="2" t="n"/>
      <c r="O548" s="2" t="n"/>
      <c r="P548" s="2" t="n"/>
      <c r="Q548" s="4">
        <f>IF(OR(A548="",E548=""),"",IF(MAXIFS($E$2:$E$1001,$A$2:$A$1001,A548,$E$2:$E$1001,"&lt;"&amp;E548)=0,"",SUMIFS($G$2:$G$1001,$A$2:$A$1001,A548,$E$2:$E$1001,MAXIFS($E$2:$E$1001,$A$2:$A$1001,A548,$E$2:$E$1001,"&lt;"&amp;E548))))</f>
        <v/>
      </c>
      <c r="R548" s="9">
        <f>IF(OR(Q548="",G548=""),"",G548-Q548)</f>
        <v/>
      </c>
      <c r="S548" s="9">
        <f>IF(R548="","",SUMIFS($R$2:$R$1001,$A$2:$A$1001,A548,$E$2:$E$1001,"&lt;="&amp;E548))</f>
        <v/>
      </c>
      <c r="T548" s="5">
        <f>IF(A548="","",IF(R548="","initial",IF(ABS(R548)&lt;=ShiftThresholdDays,"unchanged",IF(R548&gt;0,"delayed","accelerated"))))</f>
        <v/>
      </c>
    </row>
    <row r="549">
      <c r="A549" s="2" t="n"/>
      <c r="B549" s="2" t="n"/>
      <c r="C549" s="2" t="n"/>
      <c r="D549" s="2" t="n"/>
      <c r="E549" s="2" t="n"/>
      <c r="F549" s="2" t="n"/>
      <c r="G549" s="3" t="n"/>
      <c r="H549" s="2" t="n"/>
      <c r="I549" s="3" t="n"/>
      <c r="J549" s="2" t="n"/>
      <c r="K549" s="2" t="n"/>
      <c r="L549" s="2" t="n"/>
      <c r="M549" s="2" t="n"/>
      <c r="N549" s="2" t="n"/>
      <c r="O549" s="2" t="n"/>
      <c r="P549" s="2" t="n"/>
      <c r="Q549" s="4">
        <f>IF(OR(A549="",E549=""),"",IF(MAXIFS($E$2:$E$1001,$A$2:$A$1001,A549,$E$2:$E$1001,"&lt;"&amp;E549)=0,"",SUMIFS($G$2:$G$1001,$A$2:$A$1001,A549,$E$2:$E$1001,MAXIFS($E$2:$E$1001,$A$2:$A$1001,A549,$E$2:$E$1001,"&lt;"&amp;E549))))</f>
        <v/>
      </c>
      <c r="R549" s="9">
        <f>IF(OR(Q549="",G549=""),"",G549-Q549)</f>
        <v/>
      </c>
      <c r="S549" s="9">
        <f>IF(R549="","",SUMIFS($R$2:$R$1001,$A$2:$A$1001,A549,$E$2:$E$1001,"&lt;="&amp;E549))</f>
        <v/>
      </c>
      <c r="T549" s="5">
        <f>IF(A549="","",IF(R549="","initial",IF(ABS(R549)&lt;=ShiftThresholdDays,"unchanged",IF(R549&gt;0,"delayed","accelerated"))))</f>
        <v/>
      </c>
    </row>
    <row r="550">
      <c r="A550" s="2" t="n"/>
      <c r="B550" s="2" t="n"/>
      <c r="C550" s="2" t="n"/>
      <c r="D550" s="2" t="n"/>
      <c r="E550" s="2" t="n"/>
      <c r="F550" s="2" t="n"/>
      <c r="G550" s="3" t="n"/>
      <c r="H550" s="2" t="n"/>
      <c r="I550" s="3" t="n"/>
      <c r="J550" s="2" t="n"/>
      <c r="K550" s="2" t="n"/>
      <c r="L550" s="2" t="n"/>
      <c r="M550" s="2" t="n"/>
      <c r="N550" s="2" t="n"/>
      <c r="O550" s="2" t="n"/>
      <c r="P550" s="2" t="n"/>
      <c r="Q550" s="4">
        <f>IF(OR(A550="",E550=""),"",IF(MAXIFS($E$2:$E$1001,$A$2:$A$1001,A550,$E$2:$E$1001,"&lt;"&amp;E550)=0,"",SUMIFS($G$2:$G$1001,$A$2:$A$1001,A550,$E$2:$E$1001,MAXIFS($E$2:$E$1001,$A$2:$A$1001,A550,$E$2:$E$1001,"&lt;"&amp;E550))))</f>
        <v/>
      </c>
      <c r="R550" s="9">
        <f>IF(OR(Q550="",G550=""),"",G550-Q550)</f>
        <v/>
      </c>
      <c r="S550" s="9">
        <f>IF(R550="","",SUMIFS($R$2:$R$1001,$A$2:$A$1001,A550,$E$2:$E$1001,"&lt;="&amp;E550))</f>
        <v/>
      </c>
      <c r="T550" s="5">
        <f>IF(A550="","",IF(R550="","initial",IF(ABS(R550)&lt;=ShiftThresholdDays,"unchanged",IF(R550&gt;0,"delayed","accelerated"))))</f>
        <v/>
      </c>
    </row>
    <row r="551">
      <c r="A551" s="2" t="n"/>
      <c r="B551" s="2" t="n"/>
      <c r="C551" s="2" t="n"/>
      <c r="D551" s="2" t="n"/>
      <c r="E551" s="2" t="n"/>
      <c r="F551" s="2" t="n"/>
      <c r="G551" s="3" t="n"/>
      <c r="H551" s="2" t="n"/>
      <c r="I551" s="3" t="n"/>
      <c r="J551" s="2" t="n"/>
      <c r="K551" s="2" t="n"/>
      <c r="L551" s="2" t="n"/>
      <c r="M551" s="2" t="n"/>
      <c r="N551" s="2" t="n"/>
      <c r="O551" s="2" t="n"/>
      <c r="P551" s="2" t="n"/>
      <c r="Q551" s="4">
        <f>IF(OR(A551="",E551=""),"",IF(MAXIFS($E$2:$E$1001,$A$2:$A$1001,A551,$E$2:$E$1001,"&lt;"&amp;E551)=0,"",SUMIFS($G$2:$G$1001,$A$2:$A$1001,A551,$E$2:$E$1001,MAXIFS($E$2:$E$1001,$A$2:$A$1001,A551,$E$2:$E$1001,"&lt;"&amp;E551))))</f>
        <v/>
      </c>
      <c r="R551" s="9">
        <f>IF(OR(Q551="",G551=""),"",G551-Q551)</f>
        <v/>
      </c>
      <c r="S551" s="9">
        <f>IF(R551="","",SUMIFS($R$2:$R$1001,$A$2:$A$1001,A551,$E$2:$E$1001,"&lt;="&amp;E551))</f>
        <v/>
      </c>
      <c r="T551" s="5">
        <f>IF(A551="","",IF(R551="","initial",IF(ABS(R551)&lt;=ShiftThresholdDays,"unchanged",IF(R551&gt;0,"delayed","accelerated"))))</f>
        <v/>
      </c>
    </row>
    <row r="552">
      <c r="A552" s="2" t="n"/>
      <c r="B552" s="2" t="n"/>
      <c r="C552" s="2" t="n"/>
      <c r="D552" s="2" t="n"/>
      <c r="E552" s="2" t="n"/>
      <c r="F552" s="2" t="n"/>
      <c r="G552" s="3" t="n"/>
      <c r="H552" s="2" t="n"/>
      <c r="I552" s="3" t="n"/>
      <c r="J552" s="2" t="n"/>
      <c r="K552" s="2" t="n"/>
      <c r="L552" s="2" t="n"/>
      <c r="M552" s="2" t="n"/>
      <c r="N552" s="2" t="n"/>
      <c r="O552" s="2" t="n"/>
      <c r="P552" s="2" t="n"/>
      <c r="Q552" s="4">
        <f>IF(OR(A552="",E552=""),"",IF(MAXIFS($E$2:$E$1001,$A$2:$A$1001,A552,$E$2:$E$1001,"&lt;"&amp;E552)=0,"",SUMIFS($G$2:$G$1001,$A$2:$A$1001,A552,$E$2:$E$1001,MAXIFS($E$2:$E$1001,$A$2:$A$1001,A552,$E$2:$E$1001,"&lt;"&amp;E552))))</f>
        <v/>
      </c>
      <c r="R552" s="9">
        <f>IF(OR(Q552="",G552=""),"",G552-Q552)</f>
        <v/>
      </c>
      <c r="S552" s="9">
        <f>IF(R552="","",SUMIFS($R$2:$R$1001,$A$2:$A$1001,A552,$E$2:$E$1001,"&lt;="&amp;E552))</f>
        <v/>
      </c>
      <c r="T552" s="5">
        <f>IF(A552="","",IF(R552="","initial",IF(ABS(R552)&lt;=ShiftThresholdDays,"unchanged",IF(R552&gt;0,"delayed","accelerated"))))</f>
        <v/>
      </c>
    </row>
    <row r="553">
      <c r="A553" s="2" t="n"/>
      <c r="B553" s="2" t="n"/>
      <c r="C553" s="2" t="n"/>
      <c r="D553" s="2" t="n"/>
      <c r="E553" s="2" t="n"/>
      <c r="F553" s="2" t="n"/>
      <c r="G553" s="3" t="n"/>
      <c r="H553" s="2" t="n"/>
      <c r="I553" s="3" t="n"/>
      <c r="J553" s="2" t="n"/>
      <c r="K553" s="2" t="n"/>
      <c r="L553" s="2" t="n"/>
      <c r="M553" s="2" t="n"/>
      <c r="N553" s="2" t="n"/>
      <c r="O553" s="2" t="n"/>
      <c r="P553" s="2" t="n"/>
      <c r="Q553" s="4">
        <f>IF(OR(A553="",E553=""),"",IF(MAXIFS($E$2:$E$1001,$A$2:$A$1001,A553,$E$2:$E$1001,"&lt;"&amp;E553)=0,"",SUMIFS($G$2:$G$1001,$A$2:$A$1001,A553,$E$2:$E$1001,MAXIFS($E$2:$E$1001,$A$2:$A$1001,A553,$E$2:$E$1001,"&lt;"&amp;E553))))</f>
        <v/>
      </c>
      <c r="R553" s="9">
        <f>IF(OR(Q553="",G553=""),"",G553-Q553)</f>
        <v/>
      </c>
      <c r="S553" s="9">
        <f>IF(R553="","",SUMIFS($R$2:$R$1001,$A$2:$A$1001,A553,$E$2:$E$1001,"&lt;="&amp;E553))</f>
        <v/>
      </c>
      <c r="T553" s="5">
        <f>IF(A553="","",IF(R553="","initial",IF(ABS(R553)&lt;=ShiftThresholdDays,"unchanged",IF(R553&gt;0,"delayed","accelerated"))))</f>
        <v/>
      </c>
    </row>
    <row r="554">
      <c r="A554" s="2" t="n"/>
      <c r="B554" s="2" t="n"/>
      <c r="C554" s="2" t="n"/>
      <c r="D554" s="2" t="n"/>
      <c r="E554" s="2" t="n"/>
      <c r="F554" s="2" t="n"/>
      <c r="G554" s="3" t="n"/>
      <c r="H554" s="2" t="n"/>
      <c r="I554" s="3" t="n"/>
      <c r="J554" s="2" t="n"/>
      <c r="K554" s="2" t="n"/>
      <c r="L554" s="2" t="n"/>
      <c r="M554" s="2" t="n"/>
      <c r="N554" s="2" t="n"/>
      <c r="O554" s="2" t="n"/>
      <c r="P554" s="2" t="n"/>
      <c r="Q554" s="4">
        <f>IF(OR(A554="",E554=""),"",IF(MAXIFS($E$2:$E$1001,$A$2:$A$1001,A554,$E$2:$E$1001,"&lt;"&amp;E554)=0,"",SUMIFS($G$2:$G$1001,$A$2:$A$1001,A554,$E$2:$E$1001,MAXIFS($E$2:$E$1001,$A$2:$A$1001,A554,$E$2:$E$1001,"&lt;"&amp;E554))))</f>
        <v/>
      </c>
      <c r="R554" s="9">
        <f>IF(OR(Q554="",G554=""),"",G554-Q554)</f>
        <v/>
      </c>
      <c r="S554" s="9">
        <f>IF(R554="","",SUMIFS($R$2:$R$1001,$A$2:$A$1001,A554,$E$2:$E$1001,"&lt;="&amp;E554))</f>
        <v/>
      </c>
      <c r="T554" s="5">
        <f>IF(A554="","",IF(R554="","initial",IF(ABS(R554)&lt;=ShiftThresholdDays,"unchanged",IF(R554&gt;0,"delayed","accelerated"))))</f>
        <v/>
      </c>
    </row>
    <row r="555">
      <c r="A555" s="2" t="n"/>
      <c r="B555" s="2" t="n"/>
      <c r="C555" s="2" t="n"/>
      <c r="D555" s="2" t="n"/>
      <c r="E555" s="2" t="n"/>
      <c r="F555" s="2" t="n"/>
      <c r="G555" s="3" t="n"/>
      <c r="H555" s="2" t="n"/>
      <c r="I555" s="3" t="n"/>
      <c r="J555" s="2" t="n"/>
      <c r="K555" s="2" t="n"/>
      <c r="L555" s="2" t="n"/>
      <c r="M555" s="2" t="n"/>
      <c r="N555" s="2" t="n"/>
      <c r="O555" s="2" t="n"/>
      <c r="P555" s="2" t="n"/>
      <c r="Q555" s="4">
        <f>IF(OR(A555="",E555=""),"",IF(MAXIFS($E$2:$E$1001,$A$2:$A$1001,A555,$E$2:$E$1001,"&lt;"&amp;E555)=0,"",SUMIFS($G$2:$G$1001,$A$2:$A$1001,A555,$E$2:$E$1001,MAXIFS($E$2:$E$1001,$A$2:$A$1001,A555,$E$2:$E$1001,"&lt;"&amp;E555))))</f>
        <v/>
      </c>
      <c r="R555" s="9">
        <f>IF(OR(Q555="",G555=""),"",G555-Q555)</f>
        <v/>
      </c>
      <c r="S555" s="9">
        <f>IF(R555="","",SUMIFS($R$2:$R$1001,$A$2:$A$1001,A555,$E$2:$E$1001,"&lt;="&amp;E555))</f>
        <v/>
      </c>
      <c r="T555" s="5">
        <f>IF(A555="","",IF(R555="","initial",IF(ABS(R555)&lt;=ShiftThresholdDays,"unchanged",IF(R555&gt;0,"delayed","accelerated"))))</f>
        <v/>
      </c>
    </row>
    <row r="556">
      <c r="A556" s="2" t="n"/>
      <c r="B556" s="2" t="n"/>
      <c r="C556" s="2" t="n"/>
      <c r="D556" s="2" t="n"/>
      <c r="E556" s="2" t="n"/>
      <c r="F556" s="2" t="n"/>
      <c r="G556" s="3" t="n"/>
      <c r="H556" s="2" t="n"/>
      <c r="I556" s="3" t="n"/>
      <c r="J556" s="2" t="n"/>
      <c r="K556" s="2" t="n"/>
      <c r="L556" s="2" t="n"/>
      <c r="M556" s="2" t="n"/>
      <c r="N556" s="2" t="n"/>
      <c r="O556" s="2" t="n"/>
      <c r="P556" s="2" t="n"/>
      <c r="Q556" s="4">
        <f>IF(OR(A556="",E556=""),"",IF(MAXIFS($E$2:$E$1001,$A$2:$A$1001,A556,$E$2:$E$1001,"&lt;"&amp;E556)=0,"",SUMIFS($G$2:$G$1001,$A$2:$A$1001,A556,$E$2:$E$1001,MAXIFS($E$2:$E$1001,$A$2:$A$1001,A556,$E$2:$E$1001,"&lt;"&amp;E556))))</f>
        <v/>
      </c>
      <c r="R556" s="9">
        <f>IF(OR(Q556="",G556=""),"",G556-Q556)</f>
        <v/>
      </c>
      <c r="S556" s="9">
        <f>IF(R556="","",SUMIFS($R$2:$R$1001,$A$2:$A$1001,A556,$E$2:$E$1001,"&lt;="&amp;E556))</f>
        <v/>
      </c>
      <c r="T556" s="5">
        <f>IF(A556="","",IF(R556="","initial",IF(ABS(R556)&lt;=ShiftThresholdDays,"unchanged",IF(R556&gt;0,"delayed","accelerated"))))</f>
        <v/>
      </c>
    </row>
    <row r="557">
      <c r="A557" s="2" t="n"/>
      <c r="B557" s="2" t="n"/>
      <c r="C557" s="2" t="n"/>
      <c r="D557" s="2" t="n"/>
      <c r="E557" s="2" t="n"/>
      <c r="F557" s="2" t="n"/>
      <c r="G557" s="3" t="n"/>
      <c r="H557" s="2" t="n"/>
      <c r="I557" s="3" t="n"/>
      <c r="J557" s="2" t="n"/>
      <c r="K557" s="2" t="n"/>
      <c r="L557" s="2" t="n"/>
      <c r="M557" s="2" t="n"/>
      <c r="N557" s="2" t="n"/>
      <c r="O557" s="2" t="n"/>
      <c r="P557" s="2" t="n"/>
      <c r="Q557" s="4">
        <f>IF(OR(A557="",E557=""),"",IF(MAXIFS($E$2:$E$1001,$A$2:$A$1001,A557,$E$2:$E$1001,"&lt;"&amp;E557)=0,"",SUMIFS($G$2:$G$1001,$A$2:$A$1001,A557,$E$2:$E$1001,MAXIFS($E$2:$E$1001,$A$2:$A$1001,A557,$E$2:$E$1001,"&lt;"&amp;E557))))</f>
        <v/>
      </c>
      <c r="R557" s="9">
        <f>IF(OR(Q557="",G557=""),"",G557-Q557)</f>
        <v/>
      </c>
      <c r="S557" s="9">
        <f>IF(R557="","",SUMIFS($R$2:$R$1001,$A$2:$A$1001,A557,$E$2:$E$1001,"&lt;="&amp;E557))</f>
        <v/>
      </c>
      <c r="T557" s="5">
        <f>IF(A557="","",IF(R557="","initial",IF(ABS(R557)&lt;=ShiftThresholdDays,"unchanged",IF(R557&gt;0,"delayed","accelerated"))))</f>
        <v/>
      </c>
    </row>
    <row r="558">
      <c r="A558" s="2" t="n"/>
      <c r="B558" s="2" t="n"/>
      <c r="C558" s="2" t="n"/>
      <c r="D558" s="2" t="n"/>
      <c r="E558" s="2" t="n"/>
      <c r="F558" s="2" t="n"/>
      <c r="G558" s="3" t="n"/>
      <c r="H558" s="2" t="n"/>
      <c r="I558" s="3" t="n"/>
      <c r="J558" s="2" t="n"/>
      <c r="K558" s="2" t="n"/>
      <c r="L558" s="2" t="n"/>
      <c r="M558" s="2" t="n"/>
      <c r="N558" s="2" t="n"/>
      <c r="O558" s="2" t="n"/>
      <c r="P558" s="2" t="n"/>
      <c r="Q558" s="4">
        <f>IF(OR(A558="",E558=""),"",IF(MAXIFS($E$2:$E$1001,$A$2:$A$1001,A558,$E$2:$E$1001,"&lt;"&amp;E558)=0,"",SUMIFS($G$2:$G$1001,$A$2:$A$1001,A558,$E$2:$E$1001,MAXIFS($E$2:$E$1001,$A$2:$A$1001,A558,$E$2:$E$1001,"&lt;"&amp;E558))))</f>
        <v/>
      </c>
      <c r="R558" s="9">
        <f>IF(OR(Q558="",G558=""),"",G558-Q558)</f>
        <v/>
      </c>
      <c r="S558" s="9">
        <f>IF(R558="","",SUMIFS($R$2:$R$1001,$A$2:$A$1001,A558,$E$2:$E$1001,"&lt;="&amp;E558))</f>
        <v/>
      </c>
      <c r="T558" s="5">
        <f>IF(A558="","",IF(R558="","initial",IF(ABS(R558)&lt;=ShiftThresholdDays,"unchanged",IF(R558&gt;0,"delayed","accelerated"))))</f>
        <v/>
      </c>
    </row>
    <row r="559">
      <c r="A559" s="2" t="n"/>
      <c r="B559" s="2" t="n"/>
      <c r="C559" s="2" t="n"/>
      <c r="D559" s="2" t="n"/>
      <c r="E559" s="2" t="n"/>
      <c r="F559" s="2" t="n"/>
      <c r="G559" s="3" t="n"/>
      <c r="H559" s="2" t="n"/>
      <c r="I559" s="3" t="n"/>
      <c r="J559" s="2" t="n"/>
      <c r="K559" s="2" t="n"/>
      <c r="L559" s="2" t="n"/>
      <c r="M559" s="2" t="n"/>
      <c r="N559" s="2" t="n"/>
      <c r="O559" s="2" t="n"/>
      <c r="P559" s="2" t="n"/>
      <c r="Q559" s="4">
        <f>IF(OR(A559="",E559=""),"",IF(MAXIFS($E$2:$E$1001,$A$2:$A$1001,A559,$E$2:$E$1001,"&lt;"&amp;E559)=0,"",SUMIFS($G$2:$G$1001,$A$2:$A$1001,A559,$E$2:$E$1001,MAXIFS($E$2:$E$1001,$A$2:$A$1001,A559,$E$2:$E$1001,"&lt;"&amp;E559))))</f>
        <v/>
      </c>
      <c r="R559" s="9">
        <f>IF(OR(Q559="",G559=""),"",G559-Q559)</f>
        <v/>
      </c>
      <c r="S559" s="9">
        <f>IF(R559="","",SUMIFS($R$2:$R$1001,$A$2:$A$1001,A559,$E$2:$E$1001,"&lt;="&amp;E559))</f>
        <v/>
      </c>
      <c r="T559" s="5">
        <f>IF(A559="","",IF(R559="","initial",IF(ABS(R559)&lt;=ShiftThresholdDays,"unchanged",IF(R559&gt;0,"delayed","accelerated"))))</f>
        <v/>
      </c>
    </row>
    <row r="560">
      <c r="A560" s="2" t="n"/>
      <c r="B560" s="2" t="n"/>
      <c r="C560" s="2" t="n"/>
      <c r="D560" s="2" t="n"/>
      <c r="E560" s="2" t="n"/>
      <c r="F560" s="2" t="n"/>
      <c r="G560" s="3" t="n"/>
      <c r="H560" s="2" t="n"/>
      <c r="I560" s="3" t="n"/>
      <c r="J560" s="2" t="n"/>
      <c r="K560" s="2" t="n"/>
      <c r="L560" s="2" t="n"/>
      <c r="M560" s="2" t="n"/>
      <c r="N560" s="2" t="n"/>
      <c r="O560" s="2" t="n"/>
      <c r="P560" s="2" t="n"/>
      <c r="Q560" s="4">
        <f>IF(OR(A560="",E560=""),"",IF(MAXIFS($E$2:$E$1001,$A$2:$A$1001,A560,$E$2:$E$1001,"&lt;"&amp;E560)=0,"",SUMIFS($G$2:$G$1001,$A$2:$A$1001,A560,$E$2:$E$1001,MAXIFS($E$2:$E$1001,$A$2:$A$1001,A560,$E$2:$E$1001,"&lt;"&amp;E560))))</f>
        <v/>
      </c>
      <c r="R560" s="9">
        <f>IF(OR(Q560="",G560=""),"",G560-Q560)</f>
        <v/>
      </c>
      <c r="S560" s="9">
        <f>IF(R560="","",SUMIFS($R$2:$R$1001,$A$2:$A$1001,A560,$E$2:$E$1001,"&lt;="&amp;E560))</f>
        <v/>
      </c>
      <c r="T560" s="5">
        <f>IF(A560="","",IF(R560="","initial",IF(ABS(R560)&lt;=ShiftThresholdDays,"unchanged",IF(R560&gt;0,"delayed","accelerated"))))</f>
        <v/>
      </c>
    </row>
    <row r="561">
      <c r="A561" s="2" t="n"/>
      <c r="B561" s="2" t="n"/>
      <c r="C561" s="2" t="n"/>
      <c r="D561" s="2" t="n"/>
      <c r="E561" s="2" t="n"/>
      <c r="F561" s="2" t="n"/>
      <c r="G561" s="3" t="n"/>
      <c r="H561" s="2" t="n"/>
      <c r="I561" s="3" t="n"/>
      <c r="J561" s="2" t="n"/>
      <c r="K561" s="2" t="n"/>
      <c r="L561" s="2" t="n"/>
      <c r="M561" s="2" t="n"/>
      <c r="N561" s="2" t="n"/>
      <c r="O561" s="2" t="n"/>
      <c r="P561" s="2" t="n"/>
      <c r="Q561" s="4">
        <f>IF(OR(A561="",E561=""),"",IF(MAXIFS($E$2:$E$1001,$A$2:$A$1001,A561,$E$2:$E$1001,"&lt;"&amp;E561)=0,"",SUMIFS($G$2:$G$1001,$A$2:$A$1001,A561,$E$2:$E$1001,MAXIFS($E$2:$E$1001,$A$2:$A$1001,A561,$E$2:$E$1001,"&lt;"&amp;E561))))</f>
        <v/>
      </c>
      <c r="R561" s="9">
        <f>IF(OR(Q561="",G561=""),"",G561-Q561)</f>
        <v/>
      </c>
      <c r="S561" s="9">
        <f>IF(R561="","",SUMIFS($R$2:$R$1001,$A$2:$A$1001,A561,$E$2:$E$1001,"&lt;="&amp;E561))</f>
        <v/>
      </c>
      <c r="T561" s="5">
        <f>IF(A561="","",IF(R561="","initial",IF(ABS(R561)&lt;=ShiftThresholdDays,"unchanged",IF(R561&gt;0,"delayed","accelerated"))))</f>
        <v/>
      </c>
    </row>
    <row r="562">
      <c r="A562" s="2" t="n"/>
      <c r="B562" s="2" t="n"/>
      <c r="C562" s="2" t="n"/>
      <c r="D562" s="2" t="n"/>
      <c r="E562" s="2" t="n"/>
      <c r="F562" s="2" t="n"/>
      <c r="G562" s="3" t="n"/>
      <c r="H562" s="2" t="n"/>
      <c r="I562" s="3" t="n"/>
      <c r="J562" s="2" t="n"/>
      <c r="K562" s="2" t="n"/>
      <c r="L562" s="2" t="n"/>
      <c r="M562" s="2" t="n"/>
      <c r="N562" s="2" t="n"/>
      <c r="O562" s="2" t="n"/>
      <c r="P562" s="2" t="n"/>
      <c r="Q562" s="4">
        <f>IF(OR(A562="",E562=""),"",IF(MAXIFS($E$2:$E$1001,$A$2:$A$1001,A562,$E$2:$E$1001,"&lt;"&amp;E562)=0,"",SUMIFS($G$2:$G$1001,$A$2:$A$1001,A562,$E$2:$E$1001,MAXIFS($E$2:$E$1001,$A$2:$A$1001,A562,$E$2:$E$1001,"&lt;"&amp;E562))))</f>
        <v/>
      </c>
      <c r="R562" s="9">
        <f>IF(OR(Q562="",G562=""),"",G562-Q562)</f>
        <v/>
      </c>
      <c r="S562" s="9">
        <f>IF(R562="","",SUMIFS($R$2:$R$1001,$A$2:$A$1001,A562,$E$2:$E$1001,"&lt;="&amp;E562))</f>
        <v/>
      </c>
      <c r="T562" s="5">
        <f>IF(A562="","",IF(R562="","initial",IF(ABS(R562)&lt;=ShiftThresholdDays,"unchanged",IF(R562&gt;0,"delayed","accelerated"))))</f>
        <v/>
      </c>
    </row>
    <row r="563">
      <c r="A563" s="2" t="n"/>
      <c r="B563" s="2" t="n"/>
      <c r="C563" s="2" t="n"/>
      <c r="D563" s="2" t="n"/>
      <c r="E563" s="2" t="n"/>
      <c r="F563" s="2" t="n"/>
      <c r="G563" s="3" t="n"/>
      <c r="H563" s="2" t="n"/>
      <c r="I563" s="3" t="n"/>
      <c r="J563" s="2" t="n"/>
      <c r="K563" s="2" t="n"/>
      <c r="L563" s="2" t="n"/>
      <c r="M563" s="2" t="n"/>
      <c r="N563" s="2" t="n"/>
      <c r="O563" s="2" t="n"/>
      <c r="P563" s="2" t="n"/>
      <c r="Q563" s="4">
        <f>IF(OR(A563="",E563=""),"",IF(MAXIFS($E$2:$E$1001,$A$2:$A$1001,A563,$E$2:$E$1001,"&lt;"&amp;E563)=0,"",SUMIFS($G$2:$G$1001,$A$2:$A$1001,A563,$E$2:$E$1001,MAXIFS($E$2:$E$1001,$A$2:$A$1001,A563,$E$2:$E$1001,"&lt;"&amp;E563))))</f>
        <v/>
      </c>
      <c r="R563" s="9">
        <f>IF(OR(Q563="",G563=""),"",G563-Q563)</f>
        <v/>
      </c>
      <c r="S563" s="9">
        <f>IF(R563="","",SUMIFS($R$2:$R$1001,$A$2:$A$1001,A563,$E$2:$E$1001,"&lt;="&amp;E563))</f>
        <v/>
      </c>
      <c r="T563" s="5">
        <f>IF(A563="","",IF(R563="","initial",IF(ABS(R563)&lt;=ShiftThresholdDays,"unchanged",IF(R563&gt;0,"delayed","accelerated"))))</f>
        <v/>
      </c>
    </row>
    <row r="564">
      <c r="A564" s="2" t="n"/>
      <c r="B564" s="2" t="n"/>
      <c r="C564" s="2" t="n"/>
      <c r="D564" s="2" t="n"/>
      <c r="E564" s="2" t="n"/>
      <c r="F564" s="2" t="n"/>
      <c r="G564" s="3" t="n"/>
      <c r="H564" s="2" t="n"/>
      <c r="I564" s="3" t="n"/>
      <c r="J564" s="2" t="n"/>
      <c r="K564" s="2" t="n"/>
      <c r="L564" s="2" t="n"/>
      <c r="M564" s="2" t="n"/>
      <c r="N564" s="2" t="n"/>
      <c r="O564" s="2" t="n"/>
      <c r="P564" s="2" t="n"/>
      <c r="Q564" s="4">
        <f>IF(OR(A564="",E564=""),"",IF(MAXIFS($E$2:$E$1001,$A$2:$A$1001,A564,$E$2:$E$1001,"&lt;"&amp;E564)=0,"",SUMIFS($G$2:$G$1001,$A$2:$A$1001,A564,$E$2:$E$1001,MAXIFS($E$2:$E$1001,$A$2:$A$1001,A564,$E$2:$E$1001,"&lt;"&amp;E564))))</f>
        <v/>
      </c>
      <c r="R564" s="9">
        <f>IF(OR(Q564="",G564=""),"",G564-Q564)</f>
        <v/>
      </c>
      <c r="S564" s="9">
        <f>IF(R564="","",SUMIFS($R$2:$R$1001,$A$2:$A$1001,A564,$E$2:$E$1001,"&lt;="&amp;E564))</f>
        <v/>
      </c>
      <c r="T564" s="5">
        <f>IF(A564="","",IF(R564="","initial",IF(ABS(R564)&lt;=ShiftThresholdDays,"unchanged",IF(R564&gt;0,"delayed","accelerated"))))</f>
        <v/>
      </c>
    </row>
    <row r="565">
      <c r="A565" s="2" t="n"/>
      <c r="B565" s="2" t="n"/>
      <c r="C565" s="2" t="n"/>
      <c r="D565" s="2" t="n"/>
      <c r="E565" s="2" t="n"/>
      <c r="F565" s="2" t="n"/>
      <c r="G565" s="3" t="n"/>
      <c r="H565" s="2" t="n"/>
      <c r="I565" s="3" t="n"/>
      <c r="J565" s="2" t="n"/>
      <c r="K565" s="2" t="n"/>
      <c r="L565" s="2" t="n"/>
      <c r="M565" s="2" t="n"/>
      <c r="N565" s="2" t="n"/>
      <c r="O565" s="2" t="n"/>
      <c r="P565" s="2" t="n"/>
      <c r="Q565" s="4">
        <f>IF(OR(A565="",E565=""),"",IF(MAXIFS($E$2:$E$1001,$A$2:$A$1001,A565,$E$2:$E$1001,"&lt;"&amp;E565)=0,"",SUMIFS($G$2:$G$1001,$A$2:$A$1001,A565,$E$2:$E$1001,MAXIFS($E$2:$E$1001,$A$2:$A$1001,A565,$E$2:$E$1001,"&lt;"&amp;E565))))</f>
        <v/>
      </c>
      <c r="R565" s="9">
        <f>IF(OR(Q565="",G565=""),"",G565-Q565)</f>
        <v/>
      </c>
      <c r="S565" s="9">
        <f>IF(R565="","",SUMIFS($R$2:$R$1001,$A$2:$A$1001,A565,$E$2:$E$1001,"&lt;="&amp;E565))</f>
        <v/>
      </c>
      <c r="T565" s="5">
        <f>IF(A565="","",IF(R565="","initial",IF(ABS(R565)&lt;=ShiftThresholdDays,"unchanged",IF(R565&gt;0,"delayed","accelerated"))))</f>
        <v/>
      </c>
    </row>
    <row r="566">
      <c r="A566" s="2" t="n"/>
      <c r="B566" s="2" t="n"/>
      <c r="C566" s="2" t="n"/>
      <c r="D566" s="2" t="n"/>
      <c r="E566" s="2" t="n"/>
      <c r="F566" s="2" t="n"/>
      <c r="G566" s="3" t="n"/>
      <c r="H566" s="2" t="n"/>
      <c r="I566" s="3" t="n"/>
      <c r="J566" s="2" t="n"/>
      <c r="K566" s="2" t="n"/>
      <c r="L566" s="2" t="n"/>
      <c r="M566" s="2" t="n"/>
      <c r="N566" s="2" t="n"/>
      <c r="O566" s="2" t="n"/>
      <c r="P566" s="2" t="n"/>
      <c r="Q566" s="4">
        <f>IF(OR(A566="",E566=""),"",IF(MAXIFS($E$2:$E$1001,$A$2:$A$1001,A566,$E$2:$E$1001,"&lt;"&amp;E566)=0,"",SUMIFS($G$2:$G$1001,$A$2:$A$1001,A566,$E$2:$E$1001,MAXIFS($E$2:$E$1001,$A$2:$A$1001,A566,$E$2:$E$1001,"&lt;"&amp;E566))))</f>
        <v/>
      </c>
      <c r="R566" s="9">
        <f>IF(OR(Q566="",G566=""),"",G566-Q566)</f>
        <v/>
      </c>
      <c r="S566" s="9">
        <f>IF(R566="","",SUMIFS($R$2:$R$1001,$A$2:$A$1001,A566,$E$2:$E$1001,"&lt;="&amp;E566))</f>
        <v/>
      </c>
      <c r="T566" s="5">
        <f>IF(A566="","",IF(R566="","initial",IF(ABS(R566)&lt;=ShiftThresholdDays,"unchanged",IF(R566&gt;0,"delayed","accelerated"))))</f>
        <v/>
      </c>
    </row>
    <row r="567">
      <c r="A567" s="2" t="n"/>
      <c r="B567" s="2" t="n"/>
      <c r="C567" s="2" t="n"/>
      <c r="D567" s="2" t="n"/>
      <c r="E567" s="2" t="n"/>
      <c r="F567" s="2" t="n"/>
      <c r="G567" s="3" t="n"/>
      <c r="H567" s="2" t="n"/>
      <c r="I567" s="3" t="n"/>
      <c r="J567" s="2" t="n"/>
      <c r="K567" s="2" t="n"/>
      <c r="L567" s="2" t="n"/>
      <c r="M567" s="2" t="n"/>
      <c r="N567" s="2" t="n"/>
      <c r="O567" s="2" t="n"/>
      <c r="P567" s="2" t="n"/>
      <c r="Q567" s="4">
        <f>IF(OR(A567="",E567=""),"",IF(MAXIFS($E$2:$E$1001,$A$2:$A$1001,A567,$E$2:$E$1001,"&lt;"&amp;E567)=0,"",SUMIFS($G$2:$G$1001,$A$2:$A$1001,A567,$E$2:$E$1001,MAXIFS($E$2:$E$1001,$A$2:$A$1001,A567,$E$2:$E$1001,"&lt;"&amp;E567))))</f>
        <v/>
      </c>
      <c r="R567" s="9">
        <f>IF(OR(Q567="",G567=""),"",G567-Q567)</f>
        <v/>
      </c>
      <c r="S567" s="9">
        <f>IF(R567="","",SUMIFS($R$2:$R$1001,$A$2:$A$1001,A567,$E$2:$E$1001,"&lt;="&amp;E567))</f>
        <v/>
      </c>
      <c r="T567" s="5">
        <f>IF(A567="","",IF(R567="","initial",IF(ABS(R567)&lt;=ShiftThresholdDays,"unchanged",IF(R567&gt;0,"delayed","accelerated"))))</f>
        <v/>
      </c>
    </row>
    <row r="568">
      <c r="A568" s="2" t="n"/>
      <c r="B568" s="2" t="n"/>
      <c r="C568" s="2" t="n"/>
      <c r="D568" s="2" t="n"/>
      <c r="E568" s="2" t="n"/>
      <c r="F568" s="2" t="n"/>
      <c r="G568" s="3" t="n"/>
      <c r="H568" s="2" t="n"/>
      <c r="I568" s="3" t="n"/>
      <c r="J568" s="2" t="n"/>
      <c r="K568" s="2" t="n"/>
      <c r="L568" s="2" t="n"/>
      <c r="M568" s="2" t="n"/>
      <c r="N568" s="2" t="n"/>
      <c r="O568" s="2" t="n"/>
      <c r="P568" s="2" t="n"/>
      <c r="Q568" s="4">
        <f>IF(OR(A568="",E568=""),"",IF(MAXIFS($E$2:$E$1001,$A$2:$A$1001,A568,$E$2:$E$1001,"&lt;"&amp;E568)=0,"",SUMIFS($G$2:$G$1001,$A$2:$A$1001,A568,$E$2:$E$1001,MAXIFS($E$2:$E$1001,$A$2:$A$1001,A568,$E$2:$E$1001,"&lt;"&amp;E568))))</f>
        <v/>
      </c>
      <c r="R568" s="9">
        <f>IF(OR(Q568="",G568=""),"",G568-Q568)</f>
        <v/>
      </c>
      <c r="S568" s="9">
        <f>IF(R568="","",SUMIFS($R$2:$R$1001,$A$2:$A$1001,A568,$E$2:$E$1001,"&lt;="&amp;E568))</f>
        <v/>
      </c>
      <c r="T568" s="5">
        <f>IF(A568="","",IF(R568="","initial",IF(ABS(R568)&lt;=ShiftThresholdDays,"unchanged",IF(R568&gt;0,"delayed","accelerated"))))</f>
        <v/>
      </c>
    </row>
    <row r="569">
      <c r="A569" s="2" t="n"/>
      <c r="B569" s="2" t="n"/>
      <c r="C569" s="2" t="n"/>
      <c r="D569" s="2" t="n"/>
      <c r="E569" s="2" t="n"/>
      <c r="F569" s="2" t="n"/>
      <c r="G569" s="3" t="n"/>
      <c r="H569" s="2" t="n"/>
      <c r="I569" s="3" t="n"/>
      <c r="J569" s="2" t="n"/>
      <c r="K569" s="2" t="n"/>
      <c r="L569" s="2" t="n"/>
      <c r="M569" s="2" t="n"/>
      <c r="N569" s="2" t="n"/>
      <c r="O569" s="2" t="n"/>
      <c r="P569" s="2" t="n"/>
      <c r="Q569" s="4">
        <f>IF(OR(A569="",E569=""),"",IF(MAXIFS($E$2:$E$1001,$A$2:$A$1001,A569,$E$2:$E$1001,"&lt;"&amp;E569)=0,"",SUMIFS($G$2:$G$1001,$A$2:$A$1001,A569,$E$2:$E$1001,MAXIFS($E$2:$E$1001,$A$2:$A$1001,A569,$E$2:$E$1001,"&lt;"&amp;E569))))</f>
        <v/>
      </c>
      <c r="R569" s="9">
        <f>IF(OR(Q569="",G569=""),"",G569-Q569)</f>
        <v/>
      </c>
      <c r="S569" s="9">
        <f>IF(R569="","",SUMIFS($R$2:$R$1001,$A$2:$A$1001,A569,$E$2:$E$1001,"&lt;="&amp;E569))</f>
        <v/>
      </c>
      <c r="T569" s="5">
        <f>IF(A569="","",IF(R569="","initial",IF(ABS(R569)&lt;=ShiftThresholdDays,"unchanged",IF(R569&gt;0,"delayed","accelerated"))))</f>
        <v/>
      </c>
    </row>
    <row r="570">
      <c r="A570" s="2" t="n"/>
      <c r="B570" s="2" t="n"/>
      <c r="C570" s="2" t="n"/>
      <c r="D570" s="2" t="n"/>
      <c r="E570" s="2" t="n"/>
      <c r="F570" s="2" t="n"/>
      <c r="G570" s="3" t="n"/>
      <c r="H570" s="2" t="n"/>
      <c r="I570" s="3" t="n"/>
      <c r="J570" s="2" t="n"/>
      <c r="K570" s="2" t="n"/>
      <c r="L570" s="2" t="n"/>
      <c r="M570" s="2" t="n"/>
      <c r="N570" s="2" t="n"/>
      <c r="O570" s="2" t="n"/>
      <c r="P570" s="2" t="n"/>
      <c r="Q570" s="4">
        <f>IF(OR(A570="",E570=""),"",IF(MAXIFS($E$2:$E$1001,$A$2:$A$1001,A570,$E$2:$E$1001,"&lt;"&amp;E570)=0,"",SUMIFS($G$2:$G$1001,$A$2:$A$1001,A570,$E$2:$E$1001,MAXIFS($E$2:$E$1001,$A$2:$A$1001,A570,$E$2:$E$1001,"&lt;"&amp;E570))))</f>
        <v/>
      </c>
      <c r="R570" s="9">
        <f>IF(OR(Q570="",G570=""),"",G570-Q570)</f>
        <v/>
      </c>
      <c r="S570" s="9">
        <f>IF(R570="","",SUMIFS($R$2:$R$1001,$A$2:$A$1001,A570,$E$2:$E$1001,"&lt;="&amp;E570))</f>
        <v/>
      </c>
      <c r="T570" s="5">
        <f>IF(A570="","",IF(R570="","initial",IF(ABS(R570)&lt;=ShiftThresholdDays,"unchanged",IF(R570&gt;0,"delayed","accelerated"))))</f>
        <v/>
      </c>
    </row>
    <row r="571">
      <c r="A571" s="2" t="n"/>
      <c r="B571" s="2" t="n"/>
      <c r="C571" s="2" t="n"/>
      <c r="D571" s="2" t="n"/>
      <c r="E571" s="2" t="n"/>
      <c r="F571" s="2" t="n"/>
      <c r="G571" s="3" t="n"/>
      <c r="H571" s="2" t="n"/>
      <c r="I571" s="3" t="n"/>
      <c r="J571" s="2" t="n"/>
      <c r="K571" s="2" t="n"/>
      <c r="L571" s="2" t="n"/>
      <c r="M571" s="2" t="n"/>
      <c r="N571" s="2" t="n"/>
      <c r="O571" s="2" t="n"/>
      <c r="P571" s="2" t="n"/>
      <c r="Q571" s="4">
        <f>IF(OR(A571="",E571=""),"",IF(MAXIFS($E$2:$E$1001,$A$2:$A$1001,A571,$E$2:$E$1001,"&lt;"&amp;E571)=0,"",SUMIFS($G$2:$G$1001,$A$2:$A$1001,A571,$E$2:$E$1001,MAXIFS($E$2:$E$1001,$A$2:$A$1001,A571,$E$2:$E$1001,"&lt;"&amp;E571))))</f>
        <v/>
      </c>
      <c r="R571" s="9">
        <f>IF(OR(Q571="",G571=""),"",G571-Q571)</f>
        <v/>
      </c>
      <c r="S571" s="9">
        <f>IF(R571="","",SUMIFS($R$2:$R$1001,$A$2:$A$1001,A571,$E$2:$E$1001,"&lt;="&amp;E571))</f>
        <v/>
      </c>
      <c r="T571" s="5">
        <f>IF(A571="","",IF(R571="","initial",IF(ABS(R571)&lt;=ShiftThresholdDays,"unchanged",IF(R571&gt;0,"delayed","accelerated"))))</f>
        <v/>
      </c>
    </row>
    <row r="572">
      <c r="A572" s="2" t="n"/>
      <c r="B572" s="2" t="n"/>
      <c r="C572" s="2" t="n"/>
      <c r="D572" s="2" t="n"/>
      <c r="E572" s="2" t="n"/>
      <c r="F572" s="2" t="n"/>
      <c r="G572" s="3" t="n"/>
      <c r="H572" s="2" t="n"/>
      <c r="I572" s="3" t="n"/>
      <c r="J572" s="2" t="n"/>
      <c r="K572" s="2" t="n"/>
      <c r="L572" s="2" t="n"/>
      <c r="M572" s="2" t="n"/>
      <c r="N572" s="2" t="n"/>
      <c r="O572" s="2" t="n"/>
      <c r="P572" s="2" t="n"/>
      <c r="Q572" s="4">
        <f>IF(OR(A572="",E572=""),"",IF(MAXIFS($E$2:$E$1001,$A$2:$A$1001,A572,$E$2:$E$1001,"&lt;"&amp;E572)=0,"",SUMIFS($G$2:$G$1001,$A$2:$A$1001,A572,$E$2:$E$1001,MAXIFS($E$2:$E$1001,$A$2:$A$1001,A572,$E$2:$E$1001,"&lt;"&amp;E572))))</f>
        <v/>
      </c>
      <c r="R572" s="9">
        <f>IF(OR(Q572="",G572=""),"",G572-Q572)</f>
        <v/>
      </c>
      <c r="S572" s="9">
        <f>IF(R572="","",SUMIFS($R$2:$R$1001,$A$2:$A$1001,A572,$E$2:$E$1001,"&lt;="&amp;E572))</f>
        <v/>
      </c>
      <c r="T572" s="5">
        <f>IF(A572="","",IF(R572="","initial",IF(ABS(R572)&lt;=ShiftThresholdDays,"unchanged",IF(R572&gt;0,"delayed","accelerated"))))</f>
        <v/>
      </c>
    </row>
    <row r="573">
      <c r="A573" s="2" t="n"/>
      <c r="B573" s="2" t="n"/>
      <c r="C573" s="2" t="n"/>
      <c r="D573" s="2" t="n"/>
      <c r="E573" s="2" t="n"/>
      <c r="F573" s="2" t="n"/>
      <c r="G573" s="3" t="n"/>
      <c r="H573" s="2" t="n"/>
      <c r="I573" s="3" t="n"/>
      <c r="J573" s="2" t="n"/>
      <c r="K573" s="2" t="n"/>
      <c r="L573" s="2" t="n"/>
      <c r="M573" s="2" t="n"/>
      <c r="N573" s="2" t="n"/>
      <c r="O573" s="2" t="n"/>
      <c r="P573" s="2" t="n"/>
      <c r="Q573" s="4">
        <f>IF(OR(A573="",E573=""),"",IF(MAXIFS($E$2:$E$1001,$A$2:$A$1001,A573,$E$2:$E$1001,"&lt;"&amp;E573)=0,"",SUMIFS($G$2:$G$1001,$A$2:$A$1001,A573,$E$2:$E$1001,MAXIFS($E$2:$E$1001,$A$2:$A$1001,A573,$E$2:$E$1001,"&lt;"&amp;E573))))</f>
        <v/>
      </c>
      <c r="R573" s="9">
        <f>IF(OR(Q573="",G573=""),"",G573-Q573)</f>
        <v/>
      </c>
      <c r="S573" s="9">
        <f>IF(R573="","",SUMIFS($R$2:$R$1001,$A$2:$A$1001,A573,$E$2:$E$1001,"&lt;="&amp;E573))</f>
        <v/>
      </c>
      <c r="T573" s="5">
        <f>IF(A573="","",IF(R573="","initial",IF(ABS(R573)&lt;=ShiftThresholdDays,"unchanged",IF(R573&gt;0,"delayed","accelerated"))))</f>
        <v/>
      </c>
    </row>
    <row r="574">
      <c r="A574" s="2" t="n"/>
      <c r="B574" s="2" t="n"/>
      <c r="C574" s="2" t="n"/>
      <c r="D574" s="2" t="n"/>
      <c r="E574" s="2" t="n"/>
      <c r="F574" s="2" t="n"/>
      <c r="G574" s="3" t="n"/>
      <c r="H574" s="2" t="n"/>
      <c r="I574" s="3" t="n"/>
      <c r="J574" s="2" t="n"/>
      <c r="K574" s="2" t="n"/>
      <c r="L574" s="2" t="n"/>
      <c r="M574" s="2" t="n"/>
      <c r="N574" s="2" t="n"/>
      <c r="O574" s="2" t="n"/>
      <c r="P574" s="2" t="n"/>
      <c r="Q574" s="4">
        <f>IF(OR(A574="",E574=""),"",IF(MAXIFS($E$2:$E$1001,$A$2:$A$1001,A574,$E$2:$E$1001,"&lt;"&amp;E574)=0,"",SUMIFS($G$2:$G$1001,$A$2:$A$1001,A574,$E$2:$E$1001,MAXIFS($E$2:$E$1001,$A$2:$A$1001,A574,$E$2:$E$1001,"&lt;"&amp;E574))))</f>
        <v/>
      </c>
      <c r="R574" s="9">
        <f>IF(OR(Q574="",G574=""),"",G574-Q574)</f>
        <v/>
      </c>
      <c r="S574" s="9">
        <f>IF(R574="","",SUMIFS($R$2:$R$1001,$A$2:$A$1001,A574,$E$2:$E$1001,"&lt;="&amp;E574))</f>
        <v/>
      </c>
      <c r="T574" s="5">
        <f>IF(A574="","",IF(R574="","initial",IF(ABS(R574)&lt;=ShiftThresholdDays,"unchanged",IF(R574&gt;0,"delayed","accelerated"))))</f>
        <v/>
      </c>
    </row>
    <row r="575">
      <c r="A575" s="2" t="n"/>
      <c r="B575" s="2" t="n"/>
      <c r="C575" s="2" t="n"/>
      <c r="D575" s="2" t="n"/>
      <c r="E575" s="2" t="n"/>
      <c r="F575" s="2" t="n"/>
      <c r="G575" s="3" t="n"/>
      <c r="H575" s="2" t="n"/>
      <c r="I575" s="3" t="n"/>
      <c r="J575" s="2" t="n"/>
      <c r="K575" s="2" t="n"/>
      <c r="L575" s="2" t="n"/>
      <c r="M575" s="2" t="n"/>
      <c r="N575" s="2" t="n"/>
      <c r="O575" s="2" t="n"/>
      <c r="P575" s="2" t="n"/>
      <c r="Q575" s="4">
        <f>IF(OR(A575="",E575=""),"",IF(MAXIFS($E$2:$E$1001,$A$2:$A$1001,A575,$E$2:$E$1001,"&lt;"&amp;E575)=0,"",SUMIFS($G$2:$G$1001,$A$2:$A$1001,A575,$E$2:$E$1001,MAXIFS($E$2:$E$1001,$A$2:$A$1001,A575,$E$2:$E$1001,"&lt;"&amp;E575))))</f>
        <v/>
      </c>
      <c r="R575" s="9">
        <f>IF(OR(Q575="",G575=""),"",G575-Q575)</f>
        <v/>
      </c>
      <c r="S575" s="9">
        <f>IF(R575="","",SUMIFS($R$2:$R$1001,$A$2:$A$1001,A575,$E$2:$E$1001,"&lt;="&amp;E575))</f>
        <v/>
      </c>
      <c r="T575" s="5">
        <f>IF(A575="","",IF(R575="","initial",IF(ABS(R575)&lt;=ShiftThresholdDays,"unchanged",IF(R575&gt;0,"delayed","accelerated"))))</f>
        <v/>
      </c>
    </row>
    <row r="576">
      <c r="A576" s="2" t="n"/>
      <c r="B576" s="2" t="n"/>
      <c r="C576" s="2" t="n"/>
      <c r="D576" s="2" t="n"/>
      <c r="E576" s="2" t="n"/>
      <c r="F576" s="2" t="n"/>
      <c r="G576" s="3" t="n"/>
      <c r="H576" s="2" t="n"/>
      <c r="I576" s="3" t="n"/>
      <c r="J576" s="2" t="n"/>
      <c r="K576" s="2" t="n"/>
      <c r="L576" s="2" t="n"/>
      <c r="M576" s="2" t="n"/>
      <c r="N576" s="2" t="n"/>
      <c r="O576" s="2" t="n"/>
      <c r="P576" s="2" t="n"/>
      <c r="Q576" s="4">
        <f>IF(OR(A576="",E576=""),"",IF(MAXIFS($E$2:$E$1001,$A$2:$A$1001,A576,$E$2:$E$1001,"&lt;"&amp;E576)=0,"",SUMIFS($G$2:$G$1001,$A$2:$A$1001,A576,$E$2:$E$1001,MAXIFS($E$2:$E$1001,$A$2:$A$1001,A576,$E$2:$E$1001,"&lt;"&amp;E576))))</f>
        <v/>
      </c>
      <c r="R576" s="9">
        <f>IF(OR(Q576="",G576=""),"",G576-Q576)</f>
        <v/>
      </c>
      <c r="S576" s="9">
        <f>IF(R576="","",SUMIFS($R$2:$R$1001,$A$2:$A$1001,A576,$E$2:$E$1001,"&lt;="&amp;E576))</f>
        <v/>
      </c>
      <c r="T576" s="5">
        <f>IF(A576="","",IF(R576="","initial",IF(ABS(R576)&lt;=ShiftThresholdDays,"unchanged",IF(R576&gt;0,"delayed","accelerated"))))</f>
        <v/>
      </c>
    </row>
    <row r="577">
      <c r="A577" s="2" t="n"/>
      <c r="B577" s="2" t="n"/>
      <c r="C577" s="2" t="n"/>
      <c r="D577" s="2" t="n"/>
      <c r="E577" s="2" t="n"/>
      <c r="F577" s="2" t="n"/>
      <c r="G577" s="3" t="n"/>
      <c r="H577" s="2" t="n"/>
      <c r="I577" s="3" t="n"/>
      <c r="J577" s="2" t="n"/>
      <c r="K577" s="2" t="n"/>
      <c r="L577" s="2" t="n"/>
      <c r="M577" s="2" t="n"/>
      <c r="N577" s="2" t="n"/>
      <c r="O577" s="2" t="n"/>
      <c r="P577" s="2" t="n"/>
      <c r="Q577" s="4">
        <f>IF(OR(A577="",E577=""),"",IF(MAXIFS($E$2:$E$1001,$A$2:$A$1001,A577,$E$2:$E$1001,"&lt;"&amp;E577)=0,"",SUMIFS($G$2:$G$1001,$A$2:$A$1001,A577,$E$2:$E$1001,MAXIFS($E$2:$E$1001,$A$2:$A$1001,A577,$E$2:$E$1001,"&lt;"&amp;E577))))</f>
        <v/>
      </c>
      <c r="R577" s="9">
        <f>IF(OR(Q577="",G577=""),"",G577-Q577)</f>
        <v/>
      </c>
      <c r="S577" s="9">
        <f>IF(R577="","",SUMIFS($R$2:$R$1001,$A$2:$A$1001,A577,$E$2:$E$1001,"&lt;="&amp;E577))</f>
        <v/>
      </c>
      <c r="T577" s="5">
        <f>IF(A577="","",IF(R577="","initial",IF(ABS(R577)&lt;=ShiftThresholdDays,"unchanged",IF(R577&gt;0,"delayed","accelerated"))))</f>
        <v/>
      </c>
    </row>
    <row r="578">
      <c r="A578" s="2" t="n"/>
      <c r="B578" s="2" t="n"/>
      <c r="C578" s="2" t="n"/>
      <c r="D578" s="2" t="n"/>
      <c r="E578" s="2" t="n"/>
      <c r="F578" s="2" t="n"/>
      <c r="G578" s="3" t="n"/>
      <c r="H578" s="2" t="n"/>
      <c r="I578" s="3" t="n"/>
      <c r="J578" s="2" t="n"/>
      <c r="K578" s="2" t="n"/>
      <c r="L578" s="2" t="n"/>
      <c r="M578" s="2" t="n"/>
      <c r="N578" s="2" t="n"/>
      <c r="O578" s="2" t="n"/>
      <c r="P578" s="2" t="n"/>
      <c r="Q578" s="4">
        <f>IF(OR(A578="",E578=""),"",IF(MAXIFS($E$2:$E$1001,$A$2:$A$1001,A578,$E$2:$E$1001,"&lt;"&amp;E578)=0,"",SUMIFS($G$2:$G$1001,$A$2:$A$1001,A578,$E$2:$E$1001,MAXIFS($E$2:$E$1001,$A$2:$A$1001,A578,$E$2:$E$1001,"&lt;"&amp;E578))))</f>
        <v/>
      </c>
      <c r="R578" s="9">
        <f>IF(OR(Q578="",G578=""),"",G578-Q578)</f>
        <v/>
      </c>
      <c r="S578" s="9">
        <f>IF(R578="","",SUMIFS($R$2:$R$1001,$A$2:$A$1001,A578,$E$2:$E$1001,"&lt;="&amp;E578))</f>
        <v/>
      </c>
      <c r="T578" s="5">
        <f>IF(A578="","",IF(R578="","initial",IF(ABS(R578)&lt;=ShiftThresholdDays,"unchanged",IF(R578&gt;0,"delayed","accelerated"))))</f>
        <v/>
      </c>
    </row>
    <row r="579">
      <c r="A579" s="2" t="n"/>
      <c r="B579" s="2" t="n"/>
      <c r="C579" s="2" t="n"/>
      <c r="D579" s="2" t="n"/>
      <c r="E579" s="2" t="n"/>
      <c r="F579" s="2" t="n"/>
      <c r="G579" s="3" t="n"/>
      <c r="H579" s="2" t="n"/>
      <c r="I579" s="3" t="n"/>
      <c r="J579" s="2" t="n"/>
      <c r="K579" s="2" t="n"/>
      <c r="L579" s="2" t="n"/>
      <c r="M579" s="2" t="n"/>
      <c r="N579" s="2" t="n"/>
      <c r="O579" s="2" t="n"/>
      <c r="P579" s="2" t="n"/>
      <c r="Q579" s="4">
        <f>IF(OR(A579="",E579=""),"",IF(MAXIFS($E$2:$E$1001,$A$2:$A$1001,A579,$E$2:$E$1001,"&lt;"&amp;E579)=0,"",SUMIFS($G$2:$G$1001,$A$2:$A$1001,A579,$E$2:$E$1001,MAXIFS($E$2:$E$1001,$A$2:$A$1001,A579,$E$2:$E$1001,"&lt;"&amp;E579))))</f>
        <v/>
      </c>
      <c r="R579" s="9">
        <f>IF(OR(Q579="",G579=""),"",G579-Q579)</f>
        <v/>
      </c>
      <c r="S579" s="9">
        <f>IF(R579="","",SUMIFS($R$2:$R$1001,$A$2:$A$1001,A579,$E$2:$E$1001,"&lt;="&amp;E579))</f>
        <v/>
      </c>
      <c r="T579" s="5">
        <f>IF(A579="","",IF(R579="","initial",IF(ABS(R579)&lt;=ShiftThresholdDays,"unchanged",IF(R579&gt;0,"delayed","accelerated"))))</f>
        <v/>
      </c>
    </row>
    <row r="580">
      <c r="A580" s="2" t="n"/>
      <c r="B580" s="2" t="n"/>
      <c r="C580" s="2" t="n"/>
      <c r="D580" s="2" t="n"/>
      <c r="E580" s="2" t="n"/>
      <c r="F580" s="2" t="n"/>
      <c r="G580" s="3" t="n"/>
      <c r="H580" s="2" t="n"/>
      <c r="I580" s="3" t="n"/>
      <c r="J580" s="2" t="n"/>
      <c r="K580" s="2" t="n"/>
      <c r="L580" s="2" t="n"/>
      <c r="M580" s="2" t="n"/>
      <c r="N580" s="2" t="n"/>
      <c r="O580" s="2" t="n"/>
      <c r="P580" s="2" t="n"/>
      <c r="Q580" s="4">
        <f>IF(OR(A580="",E580=""),"",IF(MAXIFS($E$2:$E$1001,$A$2:$A$1001,A580,$E$2:$E$1001,"&lt;"&amp;E580)=0,"",SUMIFS($G$2:$G$1001,$A$2:$A$1001,A580,$E$2:$E$1001,MAXIFS($E$2:$E$1001,$A$2:$A$1001,A580,$E$2:$E$1001,"&lt;"&amp;E580))))</f>
        <v/>
      </c>
      <c r="R580" s="9">
        <f>IF(OR(Q580="",G580=""),"",G580-Q580)</f>
        <v/>
      </c>
      <c r="S580" s="9">
        <f>IF(R580="","",SUMIFS($R$2:$R$1001,$A$2:$A$1001,A580,$E$2:$E$1001,"&lt;="&amp;E580))</f>
        <v/>
      </c>
      <c r="T580" s="5">
        <f>IF(A580="","",IF(R580="","initial",IF(ABS(R580)&lt;=ShiftThresholdDays,"unchanged",IF(R580&gt;0,"delayed","accelerated"))))</f>
        <v/>
      </c>
    </row>
    <row r="581">
      <c r="A581" s="2" t="n"/>
      <c r="B581" s="2" t="n"/>
      <c r="C581" s="2" t="n"/>
      <c r="D581" s="2" t="n"/>
      <c r="E581" s="2" t="n"/>
      <c r="F581" s="2" t="n"/>
      <c r="G581" s="3" t="n"/>
      <c r="H581" s="2" t="n"/>
      <c r="I581" s="3" t="n"/>
      <c r="J581" s="2" t="n"/>
      <c r="K581" s="2" t="n"/>
      <c r="L581" s="2" t="n"/>
      <c r="M581" s="2" t="n"/>
      <c r="N581" s="2" t="n"/>
      <c r="O581" s="2" t="n"/>
      <c r="P581" s="2" t="n"/>
      <c r="Q581" s="4">
        <f>IF(OR(A581="",E581=""),"",IF(MAXIFS($E$2:$E$1001,$A$2:$A$1001,A581,$E$2:$E$1001,"&lt;"&amp;E581)=0,"",SUMIFS($G$2:$G$1001,$A$2:$A$1001,A581,$E$2:$E$1001,MAXIFS($E$2:$E$1001,$A$2:$A$1001,A581,$E$2:$E$1001,"&lt;"&amp;E581))))</f>
        <v/>
      </c>
      <c r="R581" s="9">
        <f>IF(OR(Q581="",G581=""),"",G581-Q581)</f>
        <v/>
      </c>
      <c r="S581" s="9">
        <f>IF(R581="","",SUMIFS($R$2:$R$1001,$A$2:$A$1001,A581,$E$2:$E$1001,"&lt;="&amp;E581))</f>
        <v/>
      </c>
      <c r="T581" s="5">
        <f>IF(A581="","",IF(R581="","initial",IF(ABS(R581)&lt;=ShiftThresholdDays,"unchanged",IF(R581&gt;0,"delayed","accelerated"))))</f>
        <v/>
      </c>
    </row>
    <row r="582">
      <c r="A582" s="2" t="n"/>
      <c r="B582" s="2" t="n"/>
      <c r="C582" s="2" t="n"/>
      <c r="D582" s="2" t="n"/>
      <c r="E582" s="2" t="n"/>
      <c r="F582" s="2" t="n"/>
      <c r="G582" s="3" t="n"/>
      <c r="H582" s="2" t="n"/>
      <c r="I582" s="3" t="n"/>
      <c r="J582" s="2" t="n"/>
      <c r="K582" s="2" t="n"/>
      <c r="L582" s="2" t="n"/>
      <c r="M582" s="2" t="n"/>
      <c r="N582" s="2" t="n"/>
      <c r="O582" s="2" t="n"/>
      <c r="P582" s="2" t="n"/>
      <c r="Q582" s="4">
        <f>IF(OR(A582="",E582=""),"",IF(MAXIFS($E$2:$E$1001,$A$2:$A$1001,A582,$E$2:$E$1001,"&lt;"&amp;E582)=0,"",SUMIFS($G$2:$G$1001,$A$2:$A$1001,A582,$E$2:$E$1001,MAXIFS($E$2:$E$1001,$A$2:$A$1001,A582,$E$2:$E$1001,"&lt;"&amp;E582))))</f>
        <v/>
      </c>
      <c r="R582" s="9">
        <f>IF(OR(Q582="",G582=""),"",G582-Q582)</f>
        <v/>
      </c>
      <c r="S582" s="9">
        <f>IF(R582="","",SUMIFS($R$2:$R$1001,$A$2:$A$1001,A582,$E$2:$E$1001,"&lt;="&amp;E582))</f>
        <v/>
      </c>
      <c r="T582" s="5">
        <f>IF(A582="","",IF(R582="","initial",IF(ABS(R582)&lt;=ShiftThresholdDays,"unchanged",IF(R582&gt;0,"delayed","accelerated"))))</f>
        <v/>
      </c>
    </row>
    <row r="583">
      <c r="A583" s="2" t="n"/>
      <c r="B583" s="2" t="n"/>
      <c r="C583" s="2" t="n"/>
      <c r="D583" s="2" t="n"/>
      <c r="E583" s="2" t="n"/>
      <c r="F583" s="2" t="n"/>
      <c r="G583" s="3" t="n"/>
      <c r="H583" s="2" t="n"/>
      <c r="I583" s="3" t="n"/>
      <c r="J583" s="2" t="n"/>
      <c r="K583" s="2" t="n"/>
      <c r="L583" s="2" t="n"/>
      <c r="M583" s="2" t="n"/>
      <c r="N583" s="2" t="n"/>
      <c r="O583" s="2" t="n"/>
      <c r="P583" s="2" t="n"/>
      <c r="Q583" s="4">
        <f>IF(OR(A583="",E583=""),"",IF(MAXIFS($E$2:$E$1001,$A$2:$A$1001,A583,$E$2:$E$1001,"&lt;"&amp;E583)=0,"",SUMIFS($G$2:$G$1001,$A$2:$A$1001,A583,$E$2:$E$1001,MAXIFS($E$2:$E$1001,$A$2:$A$1001,A583,$E$2:$E$1001,"&lt;"&amp;E583))))</f>
        <v/>
      </c>
      <c r="R583" s="9">
        <f>IF(OR(Q583="",G583=""),"",G583-Q583)</f>
        <v/>
      </c>
      <c r="S583" s="9">
        <f>IF(R583="","",SUMIFS($R$2:$R$1001,$A$2:$A$1001,A583,$E$2:$E$1001,"&lt;="&amp;E583))</f>
        <v/>
      </c>
      <c r="T583" s="5">
        <f>IF(A583="","",IF(R583="","initial",IF(ABS(R583)&lt;=ShiftThresholdDays,"unchanged",IF(R583&gt;0,"delayed","accelerated"))))</f>
        <v/>
      </c>
    </row>
    <row r="584">
      <c r="A584" s="2" t="n"/>
      <c r="B584" s="2" t="n"/>
      <c r="C584" s="2" t="n"/>
      <c r="D584" s="2" t="n"/>
      <c r="E584" s="2" t="n"/>
      <c r="F584" s="2" t="n"/>
      <c r="G584" s="3" t="n"/>
      <c r="H584" s="2" t="n"/>
      <c r="I584" s="3" t="n"/>
      <c r="J584" s="2" t="n"/>
      <c r="K584" s="2" t="n"/>
      <c r="L584" s="2" t="n"/>
      <c r="M584" s="2" t="n"/>
      <c r="N584" s="2" t="n"/>
      <c r="O584" s="2" t="n"/>
      <c r="P584" s="2" t="n"/>
      <c r="Q584" s="4">
        <f>IF(OR(A584="",E584=""),"",IF(MAXIFS($E$2:$E$1001,$A$2:$A$1001,A584,$E$2:$E$1001,"&lt;"&amp;E584)=0,"",SUMIFS($G$2:$G$1001,$A$2:$A$1001,A584,$E$2:$E$1001,MAXIFS($E$2:$E$1001,$A$2:$A$1001,A584,$E$2:$E$1001,"&lt;"&amp;E584))))</f>
        <v/>
      </c>
      <c r="R584" s="9">
        <f>IF(OR(Q584="",G584=""),"",G584-Q584)</f>
        <v/>
      </c>
      <c r="S584" s="9">
        <f>IF(R584="","",SUMIFS($R$2:$R$1001,$A$2:$A$1001,A584,$E$2:$E$1001,"&lt;="&amp;E584))</f>
        <v/>
      </c>
      <c r="T584" s="5">
        <f>IF(A584="","",IF(R584="","initial",IF(ABS(R584)&lt;=ShiftThresholdDays,"unchanged",IF(R584&gt;0,"delayed","accelerated"))))</f>
        <v/>
      </c>
    </row>
    <row r="585">
      <c r="A585" s="2" t="n"/>
      <c r="B585" s="2" t="n"/>
      <c r="C585" s="2" t="n"/>
      <c r="D585" s="2" t="n"/>
      <c r="E585" s="2" t="n"/>
      <c r="F585" s="2" t="n"/>
      <c r="G585" s="3" t="n"/>
      <c r="H585" s="2" t="n"/>
      <c r="I585" s="3" t="n"/>
      <c r="J585" s="2" t="n"/>
      <c r="K585" s="2" t="n"/>
      <c r="L585" s="2" t="n"/>
      <c r="M585" s="2" t="n"/>
      <c r="N585" s="2" t="n"/>
      <c r="O585" s="2" t="n"/>
      <c r="P585" s="2" t="n"/>
      <c r="Q585" s="4">
        <f>IF(OR(A585="",E585=""),"",IF(MAXIFS($E$2:$E$1001,$A$2:$A$1001,A585,$E$2:$E$1001,"&lt;"&amp;E585)=0,"",SUMIFS($G$2:$G$1001,$A$2:$A$1001,A585,$E$2:$E$1001,MAXIFS($E$2:$E$1001,$A$2:$A$1001,A585,$E$2:$E$1001,"&lt;"&amp;E585))))</f>
        <v/>
      </c>
      <c r="R585" s="9">
        <f>IF(OR(Q585="",G585=""),"",G585-Q585)</f>
        <v/>
      </c>
      <c r="S585" s="9">
        <f>IF(R585="","",SUMIFS($R$2:$R$1001,$A$2:$A$1001,A585,$E$2:$E$1001,"&lt;="&amp;E585))</f>
        <v/>
      </c>
      <c r="T585" s="5">
        <f>IF(A585="","",IF(R585="","initial",IF(ABS(R585)&lt;=ShiftThresholdDays,"unchanged",IF(R585&gt;0,"delayed","accelerated"))))</f>
        <v/>
      </c>
    </row>
    <row r="586">
      <c r="A586" s="2" t="n"/>
      <c r="B586" s="2" t="n"/>
      <c r="C586" s="2" t="n"/>
      <c r="D586" s="2" t="n"/>
      <c r="E586" s="2" t="n"/>
      <c r="F586" s="2" t="n"/>
      <c r="G586" s="3" t="n"/>
      <c r="H586" s="2" t="n"/>
      <c r="I586" s="3" t="n"/>
      <c r="J586" s="2" t="n"/>
      <c r="K586" s="2" t="n"/>
      <c r="L586" s="2" t="n"/>
      <c r="M586" s="2" t="n"/>
      <c r="N586" s="2" t="n"/>
      <c r="O586" s="2" t="n"/>
      <c r="P586" s="2" t="n"/>
      <c r="Q586" s="4">
        <f>IF(OR(A586="",E586=""),"",IF(MAXIFS($E$2:$E$1001,$A$2:$A$1001,A586,$E$2:$E$1001,"&lt;"&amp;E586)=0,"",SUMIFS($G$2:$G$1001,$A$2:$A$1001,A586,$E$2:$E$1001,MAXIFS($E$2:$E$1001,$A$2:$A$1001,A586,$E$2:$E$1001,"&lt;"&amp;E586))))</f>
        <v/>
      </c>
      <c r="R586" s="9">
        <f>IF(OR(Q586="",G586=""),"",G586-Q586)</f>
        <v/>
      </c>
      <c r="S586" s="9">
        <f>IF(R586="","",SUMIFS($R$2:$R$1001,$A$2:$A$1001,A586,$E$2:$E$1001,"&lt;="&amp;E586))</f>
        <v/>
      </c>
      <c r="T586" s="5">
        <f>IF(A586="","",IF(R586="","initial",IF(ABS(R586)&lt;=ShiftThresholdDays,"unchanged",IF(R586&gt;0,"delayed","accelerated"))))</f>
        <v/>
      </c>
    </row>
    <row r="587">
      <c r="A587" s="2" t="n"/>
      <c r="B587" s="2" t="n"/>
      <c r="C587" s="2" t="n"/>
      <c r="D587" s="2" t="n"/>
      <c r="E587" s="2" t="n"/>
      <c r="F587" s="2" t="n"/>
      <c r="G587" s="3" t="n"/>
      <c r="H587" s="2" t="n"/>
      <c r="I587" s="3" t="n"/>
      <c r="J587" s="2" t="n"/>
      <c r="K587" s="2" t="n"/>
      <c r="L587" s="2" t="n"/>
      <c r="M587" s="2" t="n"/>
      <c r="N587" s="2" t="n"/>
      <c r="O587" s="2" t="n"/>
      <c r="P587" s="2" t="n"/>
      <c r="Q587" s="4">
        <f>IF(OR(A587="",E587=""),"",IF(MAXIFS($E$2:$E$1001,$A$2:$A$1001,A587,$E$2:$E$1001,"&lt;"&amp;E587)=0,"",SUMIFS($G$2:$G$1001,$A$2:$A$1001,A587,$E$2:$E$1001,MAXIFS($E$2:$E$1001,$A$2:$A$1001,A587,$E$2:$E$1001,"&lt;"&amp;E587))))</f>
        <v/>
      </c>
      <c r="R587" s="9">
        <f>IF(OR(Q587="",G587=""),"",G587-Q587)</f>
        <v/>
      </c>
      <c r="S587" s="9">
        <f>IF(R587="","",SUMIFS($R$2:$R$1001,$A$2:$A$1001,A587,$E$2:$E$1001,"&lt;="&amp;E587))</f>
        <v/>
      </c>
      <c r="T587" s="5">
        <f>IF(A587="","",IF(R587="","initial",IF(ABS(R587)&lt;=ShiftThresholdDays,"unchanged",IF(R587&gt;0,"delayed","accelerated"))))</f>
        <v/>
      </c>
    </row>
    <row r="588">
      <c r="A588" s="2" t="n"/>
      <c r="B588" s="2" t="n"/>
      <c r="C588" s="2" t="n"/>
      <c r="D588" s="2" t="n"/>
      <c r="E588" s="2" t="n"/>
      <c r="F588" s="2" t="n"/>
      <c r="G588" s="3" t="n"/>
      <c r="H588" s="2" t="n"/>
      <c r="I588" s="3" t="n"/>
      <c r="J588" s="2" t="n"/>
      <c r="K588" s="2" t="n"/>
      <c r="L588" s="2" t="n"/>
      <c r="M588" s="2" t="n"/>
      <c r="N588" s="2" t="n"/>
      <c r="O588" s="2" t="n"/>
      <c r="P588" s="2" t="n"/>
      <c r="Q588" s="4">
        <f>IF(OR(A588="",E588=""),"",IF(MAXIFS($E$2:$E$1001,$A$2:$A$1001,A588,$E$2:$E$1001,"&lt;"&amp;E588)=0,"",SUMIFS($G$2:$G$1001,$A$2:$A$1001,A588,$E$2:$E$1001,MAXIFS($E$2:$E$1001,$A$2:$A$1001,A588,$E$2:$E$1001,"&lt;"&amp;E588))))</f>
        <v/>
      </c>
      <c r="R588" s="9">
        <f>IF(OR(Q588="",G588=""),"",G588-Q588)</f>
        <v/>
      </c>
      <c r="S588" s="9">
        <f>IF(R588="","",SUMIFS($R$2:$R$1001,$A$2:$A$1001,A588,$E$2:$E$1001,"&lt;="&amp;E588))</f>
        <v/>
      </c>
      <c r="T588" s="5">
        <f>IF(A588="","",IF(R588="","initial",IF(ABS(R588)&lt;=ShiftThresholdDays,"unchanged",IF(R588&gt;0,"delayed","accelerated"))))</f>
        <v/>
      </c>
    </row>
    <row r="589">
      <c r="A589" s="2" t="n"/>
      <c r="B589" s="2" t="n"/>
      <c r="C589" s="2" t="n"/>
      <c r="D589" s="2" t="n"/>
      <c r="E589" s="2" t="n"/>
      <c r="F589" s="2" t="n"/>
      <c r="G589" s="3" t="n"/>
      <c r="H589" s="2" t="n"/>
      <c r="I589" s="3" t="n"/>
      <c r="J589" s="2" t="n"/>
      <c r="K589" s="2" t="n"/>
      <c r="L589" s="2" t="n"/>
      <c r="M589" s="2" t="n"/>
      <c r="N589" s="2" t="n"/>
      <c r="O589" s="2" t="n"/>
      <c r="P589" s="2" t="n"/>
      <c r="Q589" s="4">
        <f>IF(OR(A589="",E589=""),"",IF(MAXIFS($E$2:$E$1001,$A$2:$A$1001,A589,$E$2:$E$1001,"&lt;"&amp;E589)=0,"",SUMIFS($G$2:$G$1001,$A$2:$A$1001,A589,$E$2:$E$1001,MAXIFS($E$2:$E$1001,$A$2:$A$1001,A589,$E$2:$E$1001,"&lt;"&amp;E589))))</f>
        <v/>
      </c>
      <c r="R589" s="9">
        <f>IF(OR(Q589="",G589=""),"",G589-Q589)</f>
        <v/>
      </c>
      <c r="S589" s="9">
        <f>IF(R589="","",SUMIFS($R$2:$R$1001,$A$2:$A$1001,A589,$E$2:$E$1001,"&lt;="&amp;E589))</f>
        <v/>
      </c>
      <c r="T589" s="5">
        <f>IF(A589="","",IF(R589="","initial",IF(ABS(R589)&lt;=ShiftThresholdDays,"unchanged",IF(R589&gt;0,"delayed","accelerated"))))</f>
        <v/>
      </c>
    </row>
    <row r="590">
      <c r="A590" s="2" t="n"/>
      <c r="B590" s="2" t="n"/>
      <c r="C590" s="2" t="n"/>
      <c r="D590" s="2" t="n"/>
      <c r="E590" s="2" t="n"/>
      <c r="F590" s="2" t="n"/>
      <c r="G590" s="3" t="n"/>
      <c r="H590" s="2" t="n"/>
      <c r="I590" s="3" t="n"/>
      <c r="J590" s="2" t="n"/>
      <c r="K590" s="2" t="n"/>
      <c r="L590" s="2" t="n"/>
      <c r="M590" s="2" t="n"/>
      <c r="N590" s="2" t="n"/>
      <c r="O590" s="2" t="n"/>
      <c r="P590" s="2" t="n"/>
      <c r="Q590" s="4">
        <f>IF(OR(A590="",E590=""),"",IF(MAXIFS($E$2:$E$1001,$A$2:$A$1001,A590,$E$2:$E$1001,"&lt;"&amp;E590)=0,"",SUMIFS($G$2:$G$1001,$A$2:$A$1001,A590,$E$2:$E$1001,MAXIFS($E$2:$E$1001,$A$2:$A$1001,A590,$E$2:$E$1001,"&lt;"&amp;E590))))</f>
        <v/>
      </c>
      <c r="R590" s="9">
        <f>IF(OR(Q590="",G590=""),"",G590-Q590)</f>
        <v/>
      </c>
      <c r="S590" s="9">
        <f>IF(R590="","",SUMIFS($R$2:$R$1001,$A$2:$A$1001,A590,$E$2:$E$1001,"&lt;="&amp;E590))</f>
        <v/>
      </c>
      <c r="T590" s="5">
        <f>IF(A590="","",IF(R590="","initial",IF(ABS(R590)&lt;=ShiftThresholdDays,"unchanged",IF(R590&gt;0,"delayed","accelerated"))))</f>
        <v/>
      </c>
    </row>
    <row r="591">
      <c r="A591" s="2" t="n"/>
      <c r="B591" s="2" t="n"/>
      <c r="C591" s="2" t="n"/>
      <c r="D591" s="2" t="n"/>
      <c r="E591" s="2" t="n"/>
      <c r="F591" s="2" t="n"/>
      <c r="G591" s="3" t="n"/>
      <c r="H591" s="2" t="n"/>
      <c r="I591" s="3" t="n"/>
      <c r="J591" s="2" t="n"/>
      <c r="K591" s="2" t="n"/>
      <c r="L591" s="2" t="n"/>
      <c r="M591" s="2" t="n"/>
      <c r="N591" s="2" t="n"/>
      <c r="O591" s="2" t="n"/>
      <c r="P591" s="2" t="n"/>
      <c r="Q591" s="4">
        <f>IF(OR(A591="",E591=""),"",IF(MAXIFS($E$2:$E$1001,$A$2:$A$1001,A591,$E$2:$E$1001,"&lt;"&amp;E591)=0,"",SUMIFS($G$2:$G$1001,$A$2:$A$1001,A591,$E$2:$E$1001,MAXIFS($E$2:$E$1001,$A$2:$A$1001,A591,$E$2:$E$1001,"&lt;"&amp;E591))))</f>
        <v/>
      </c>
      <c r="R591" s="9">
        <f>IF(OR(Q591="",G591=""),"",G591-Q591)</f>
        <v/>
      </c>
      <c r="S591" s="9">
        <f>IF(R591="","",SUMIFS($R$2:$R$1001,$A$2:$A$1001,A591,$E$2:$E$1001,"&lt;="&amp;E591))</f>
        <v/>
      </c>
      <c r="T591" s="5">
        <f>IF(A591="","",IF(R591="","initial",IF(ABS(R591)&lt;=ShiftThresholdDays,"unchanged",IF(R591&gt;0,"delayed","accelerated"))))</f>
        <v/>
      </c>
    </row>
    <row r="592">
      <c r="A592" s="2" t="n"/>
      <c r="B592" s="2" t="n"/>
      <c r="C592" s="2" t="n"/>
      <c r="D592" s="2" t="n"/>
      <c r="E592" s="2" t="n"/>
      <c r="F592" s="2" t="n"/>
      <c r="G592" s="3" t="n"/>
      <c r="H592" s="2" t="n"/>
      <c r="I592" s="3" t="n"/>
      <c r="J592" s="2" t="n"/>
      <c r="K592" s="2" t="n"/>
      <c r="L592" s="2" t="n"/>
      <c r="M592" s="2" t="n"/>
      <c r="N592" s="2" t="n"/>
      <c r="O592" s="2" t="n"/>
      <c r="P592" s="2" t="n"/>
      <c r="Q592" s="4">
        <f>IF(OR(A592="",E592=""),"",IF(MAXIFS($E$2:$E$1001,$A$2:$A$1001,A592,$E$2:$E$1001,"&lt;"&amp;E592)=0,"",SUMIFS($G$2:$G$1001,$A$2:$A$1001,A592,$E$2:$E$1001,MAXIFS($E$2:$E$1001,$A$2:$A$1001,A592,$E$2:$E$1001,"&lt;"&amp;E592))))</f>
        <v/>
      </c>
      <c r="R592" s="9">
        <f>IF(OR(Q592="",G592=""),"",G592-Q592)</f>
        <v/>
      </c>
      <c r="S592" s="9">
        <f>IF(R592="","",SUMIFS($R$2:$R$1001,$A$2:$A$1001,A592,$E$2:$E$1001,"&lt;="&amp;E592))</f>
        <v/>
      </c>
      <c r="T592" s="5">
        <f>IF(A592="","",IF(R592="","initial",IF(ABS(R592)&lt;=ShiftThresholdDays,"unchanged",IF(R592&gt;0,"delayed","accelerated"))))</f>
        <v/>
      </c>
    </row>
    <row r="593">
      <c r="A593" s="2" t="n"/>
      <c r="B593" s="2" t="n"/>
      <c r="C593" s="2" t="n"/>
      <c r="D593" s="2" t="n"/>
      <c r="E593" s="2" t="n"/>
      <c r="F593" s="2" t="n"/>
      <c r="G593" s="3" t="n"/>
      <c r="H593" s="2" t="n"/>
      <c r="I593" s="3" t="n"/>
      <c r="J593" s="2" t="n"/>
      <c r="K593" s="2" t="n"/>
      <c r="L593" s="2" t="n"/>
      <c r="M593" s="2" t="n"/>
      <c r="N593" s="2" t="n"/>
      <c r="O593" s="2" t="n"/>
      <c r="P593" s="2" t="n"/>
      <c r="Q593" s="4">
        <f>IF(OR(A593="",E593=""),"",IF(MAXIFS($E$2:$E$1001,$A$2:$A$1001,A593,$E$2:$E$1001,"&lt;"&amp;E593)=0,"",SUMIFS($G$2:$G$1001,$A$2:$A$1001,A593,$E$2:$E$1001,MAXIFS($E$2:$E$1001,$A$2:$A$1001,A593,$E$2:$E$1001,"&lt;"&amp;E593))))</f>
        <v/>
      </c>
      <c r="R593" s="9">
        <f>IF(OR(Q593="",G593=""),"",G593-Q593)</f>
        <v/>
      </c>
      <c r="S593" s="9">
        <f>IF(R593="","",SUMIFS($R$2:$R$1001,$A$2:$A$1001,A593,$E$2:$E$1001,"&lt;="&amp;E593))</f>
        <v/>
      </c>
      <c r="T593" s="5">
        <f>IF(A593="","",IF(R593="","initial",IF(ABS(R593)&lt;=ShiftThresholdDays,"unchanged",IF(R593&gt;0,"delayed","accelerated"))))</f>
        <v/>
      </c>
    </row>
    <row r="594">
      <c r="A594" s="2" t="n"/>
      <c r="B594" s="2" t="n"/>
      <c r="C594" s="2" t="n"/>
      <c r="D594" s="2" t="n"/>
      <c r="E594" s="2" t="n"/>
      <c r="F594" s="2" t="n"/>
      <c r="G594" s="3" t="n"/>
      <c r="H594" s="2" t="n"/>
      <c r="I594" s="3" t="n"/>
      <c r="J594" s="2" t="n"/>
      <c r="K594" s="2" t="n"/>
      <c r="L594" s="2" t="n"/>
      <c r="M594" s="2" t="n"/>
      <c r="N594" s="2" t="n"/>
      <c r="O594" s="2" t="n"/>
      <c r="P594" s="2" t="n"/>
      <c r="Q594" s="4">
        <f>IF(OR(A594="",E594=""),"",IF(MAXIFS($E$2:$E$1001,$A$2:$A$1001,A594,$E$2:$E$1001,"&lt;"&amp;E594)=0,"",SUMIFS($G$2:$G$1001,$A$2:$A$1001,A594,$E$2:$E$1001,MAXIFS($E$2:$E$1001,$A$2:$A$1001,A594,$E$2:$E$1001,"&lt;"&amp;E594))))</f>
        <v/>
      </c>
      <c r="R594" s="9">
        <f>IF(OR(Q594="",G594=""),"",G594-Q594)</f>
        <v/>
      </c>
      <c r="S594" s="9">
        <f>IF(R594="","",SUMIFS($R$2:$R$1001,$A$2:$A$1001,A594,$E$2:$E$1001,"&lt;="&amp;E594))</f>
        <v/>
      </c>
      <c r="T594" s="5">
        <f>IF(A594="","",IF(R594="","initial",IF(ABS(R594)&lt;=ShiftThresholdDays,"unchanged",IF(R594&gt;0,"delayed","accelerated"))))</f>
        <v/>
      </c>
    </row>
    <row r="595">
      <c r="A595" s="2" t="n"/>
      <c r="B595" s="2" t="n"/>
      <c r="C595" s="2" t="n"/>
      <c r="D595" s="2" t="n"/>
      <c r="E595" s="2" t="n"/>
      <c r="F595" s="2" t="n"/>
      <c r="G595" s="3" t="n"/>
      <c r="H595" s="2" t="n"/>
      <c r="I595" s="3" t="n"/>
      <c r="J595" s="2" t="n"/>
      <c r="K595" s="2" t="n"/>
      <c r="L595" s="2" t="n"/>
      <c r="M595" s="2" t="n"/>
      <c r="N595" s="2" t="n"/>
      <c r="O595" s="2" t="n"/>
      <c r="P595" s="2" t="n"/>
      <c r="Q595" s="4">
        <f>IF(OR(A595="",E595=""),"",IF(MAXIFS($E$2:$E$1001,$A$2:$A$1001,A595,$E$2:$E$1001,"&lt;"&amp;E595)=0,"",SUMIFS($G$2:$G$1001,$A$2:$A$1001,A595,$E$2:$E$1001,MAXIFS($E$2:$E$1001,$A$2:$A$1001,A595,$E$2:$E$1001,"&lt;"&amp;E595))))</f>
        <v/>
      </c>
      <c r="R595" s="9">
        <f>IF(OR(Q595="",G595=""),"",G595-Q595)</f>
        <v/>
      </c>
      <c r="S595" s="9">
        <f>IF(R595="","",SUMIFS($R$2:$R$1001,$A$2:$A$1001,A595,$E$2:$E$1001,"&lt;="&amp;E595))</f>
        <v/>
      </c>
      <c r="T595" s="5">
        <f>IF(A595="","",IF(R595="","initial",IF(ABS(R595)&lt;=ShiftThresholdDays,"unchanged",IF(R595&gt;0,"delayed","accelerated"))))</f>
        <v/>
      </c>
    </row>
    <row r="596">
      <c r="A596" s="2" t="n"/>
      <c r="B596" s="2" t="n"/>
      <c r="C596" s="2" t="n"/>
      <c r="D596" s="2" t="n"/>
      <c r="E596" s="2" t="n"/>
      <c r="F596" s="2" t="n"/>
      <c r="G596" s="3" t="n"/>
      <c r="H596" s="2" t="n"/>
      <c r="I596" s="3" t="n"/>
      <c r="J596" s="2" t="n"/>
      <c r="K596" s="2" t="n"/>
      <c r="L596" s="2" t="n"/>
      <c r="M596" s="2" t="n"/>
      <c r="N596" s="2" t="n"/>
      <c r="O596" s="2" t="n"/>
      <c r="P596" s="2" t="n"/>
      <c r="Q596" s="4">
        <f>IF(OR(A596="",E596=""),"",IF(MAXIFS($E$2:$E$1001,$A$2:$A$1001,A596,$E$2:$E$1001,"&lt;"&amp;E596)=0,"",SUMIFS($G$2:$G$1001,$A$2:$A$1001,A596,$E$2:$E$1001,MAXIFS($E$2:$E$1001,$A$2:$A$1001,A596,$E$2:$E$1001,"&lt;"&amp;E596))))</f>
        <v/>
      </c>
      <c r="R596" s="9">
        <f>IF(OR(Q596="",G596=""),"",G596-Q596)</f>
        <v/>
      </c>
      <c r="S596" s="9">
        <f>IF(R596="","",SUMIFS($R$2:$R$1001,$A$2:$A$1001,A596,$E$2:$E$1001,"&lt;="&amp;E596))</f>
        <v/>
      </c>
      <c r="T596" s="5">
        <f>IF(A596="","",IF(R596="","initial",IF(ABS(R596)&lt;=ShiftThresholdDays,"unchanged",IF(R596&gt;0,"delayed","accelerated"))))</f>
        <v/>
      </c>
    </row>
    <row r="597">
      <c r="A597" s="2" t="n"/>
      <c r="B597" s="2" t="n"/>
      <c r="C597" s="2" t="n"/>
      <c r="D597" s="2" t="n"/>
      <c r="E597" s="2" t="n"/>
      <c r="F597" s="2" t="n"/>
      <c r="G597" s="3" t="n"/>
      <c r="H597" s="2" t="n"/>
      <c r="I597" s="3" t="n"/>
      <c r="J597" s="2" t="n"/>
      <c r="K597" s="2" t="n"/>
      <c r="L597" s="2" t="n"/>
      <c r="M597" s="2" t="n"/>
      <c r="N597" s="2" t="n"/>
      <c r="O597" s="2" t="n"/>
      <c r="P597" s="2" t="n"/>
      <c r="Q597" s="4">
        <f>IF(OR(A597="",E597=""),"",IF(MAXIFS($E$2:$E$1001,$A$2:$A$1001,A597,$E$2:$E$1001,"&lt;"&amp;E597)=0,"",SUMIFS($G$2:$G$1001,$A$2:$A$1001,A597,$E$2:$E$1001,MAXIFS($E$2:$E$1001,$A$2:$A$1001,A597,$E$2:$E$1001,"&lt;"&amp;E597))))</f>
        <v/>
      </c>
      <c r="R597" s="9">
        <f>IF(OR(Q597="",G597=""),"",G597-Q597)</f>
        <v/>
      </c>
      <c r="S597" s="9">
        <f>IF(R597="","",SUMIFS($R$2:$R$1001,$A$2:$A$1001,A597,$E$2:$E$1001,"&lt;="&amp;E597))</f>
        <v/>
      </c>
      <c r="T597" s="5">
        <f>IF(A597="","",IF(R597="","initial",IF(ABS(R597)&lt;=ShiftThresholdDays,"unchanged",IF(R597&gt;0,"delayed","accelerated"))))</f>
        <v/>
      </c>
    </row>
    <row r="598">
      <c r="A598" s="2" t="n"/>
      <c r="B598" s="2" t="n"/>
      <c r="C598" s="2" t="n"/>
      <c r="D598" s="2" t="n"/>
      <c r="E598" s="2" t="n"/>
      <c r="F598" s="2" t="n"/>
      <c r="G598" s="3" t="n"/>
      <c r="H598" s="2" t="n"/>
      <c r="I598" s="3" t="n"/>
      <c r="J598" s="2" t="n"/>
      <c r="K598" s="2" t="n"/>
      <c r="L598" s="2" t="n"/>
      <c r="M598" s="2" t="n"/>
      <c r="N598" s="2" t="n"/>
      <c r="O598" s="2" t="n"/>
      <c r="P598" s="2" t="n"/>
      <c r="Q598" s="4">
        <f>IF(OR(A598="",E598=""),"",IF(MAXIFS($E$2:$E$1001,$A$2:$A$1001,A598,$E$2:$E$1001,"&lt;"&amp;E598)=0,"",SUMIFS($G$2:$G$1001,$A$2:$A$1001,A598,$E$2:$E$1001,MAXIFS($E$2:$E$1001,$A$2:$A$1001,A598,$E$2:$E$1001,"&lt;"&amp;E598))))</f>
        <v/>
      </c>
      <c r="R598" s="9">
        <f>IF(OR(Q598="",G598=""),"",G598-Q598)</f>
        <v/>
      </c>
      <c r="S598" s="9">
        <f>IF(R598="","",SUMIFS($R$2:$R$1001,$A$2:$A$1001,A598,$E$2:$E$1001,"&lt;="&amp;E598))</f>
        <v/>
      </c>
      <c r="T598" s="5">
        <f>IF(A598="","",IF(R598="","initial",IF(ABS(R598)&lt;=ShiftThresholdDays,"unchanged",IF(R598&gt;0,"delayed","accelerated"))))</f>
        <v/>
      </c>
    </row>
    <row r="599">
      <c r="A599" s="2" t="n"/>
      <c r="B599" s="2" t="n"/>
      <c r="C599" s="2" t="n"/>
      <c r="D599" s="2" t="n"/>
      <c r="E599" s="2" t="n"/>
      <c r="F599" s="2" t="n"/>
      <c r="G599" s="3" t="n"/>
      <c r="H599" s="2" t="n"/>
      <c r="I599" s="3" t="n"/>
      <c r="J599" s="2" t="n"/>
      <c r="K599" s="2" t="n"/>
      <c r="L599" s="2" t="n"/>
      <c r="M599" s="2" t="n"/>
      <c r="N599" s="2" t="n"/>
      <c r="O599" s="2" t="n"/>
      <c r="P599" s="2" t="n"/>
      <c r="Q599" s="4">
        <f>IF(OR(A599="",E599=""),"",IF(MAXIFS($E$2:$E$1001,$A$2:$A$1001,A599,$E$2:$E$1001,"&lt;"&amp;E599)=0,"",SUMIFS($G$2:$G$1001,$A$2:$A$1001,A599,$E$2:$E$1001,MAXIFS($E$2:$E$1001,$A$2:$A$1001,A599,$E$2:$E$1001,"&lt;"&amp;E599))))</f>
        <v/>
      </c>
      <c r="R599" s="9">
        <f>IF(OR(Q599="",G599=""),"",G599-Q599)</f>
        <v/>
      </c>
      <c r="S599" s="9">
        <f>IF(R599="","",SUMIFS($R$2:$R$1001,$A$2:$A$1001,A599,$E$2:$E$1001,"&lt;="&amp;E599))</f>
        <v/>
      </c>
      <c r="T599" s="5">
        <f>IF(A599="","",IF(R599="","initial",IF(ABS(R599)&lt;=ShiftThresholdDays,"unchanged",IF(R599&gt;0,"delayed","accelerated"))))</f>
        <v/>
      </c>
    </row>
    <row r="600">
      <c r="A600" s="2" t="n"/>
      <c r="B600" s="2" t="n"/>
      <c r="C600" s="2" t="n"/>
      <c r="D600" s="2" t="n"/>
      <c r="E600" s="2" t="n"/>
      <c r="F600" s="2" t="n"/>
      <c r="G600" s="3" t="n"/>
      <c r="H600" s="2" t="n"/>
      <c r="I600" s="3" t="n"/>
      <c r="J600" s="2" t="n"/>
      <c r="K600" s="2" t="n"/>
      <c r="L600" s="2" t="n"/>
      <c r="M600" s="2" t="n"/>
      <c r="N600" s="2" t="n"/>
      <c r="O600" s="2" t="n"/>
      <c r="P600" s="2" t="n"/>
      <c r="Q600" s="4">
        <f>IF(OR(A600="",E600=""),"",IF(MAXIFS($E$2:$E$1001,$A$2:$A$1001,A600,$E$2:$E$1001,"&lt;"&amp;E600)=0,"",SUMIFS($G$2:$G$1001,$A$2:$A$1001,A600,$E$2:$E$1001,MAXIFS($E$2:$E$1001,$A$2:$A$1001,A600,$E$2:$E$1001,"&lt;"&amp;E600))))</f>
        <v/>
      </c>
      <c r="R600" s="9">
        <f>IF(OR(Q600="",G600=""),"",G600-Q600)</f>
        <v/>
      </c>
      <c r="S600" s="9">
        <f>IF(R600="","",SUMIFS($R$2:$R$1001,$A$2:$A$1001,A600,$E$2:$E$1001,"&lt;="&amp;E600))</f>
        <v/>
      </c>
      <c r="T600" s="5">
        <f>IF(A600="","",IF(R600="","initial",IF(ABS(R600)&lt;=ShiftThresholdDays,"unchanged",IF(R600&gt;0,"delayed","accelerated"))))</f>
        <v/>
      </c>
    </row>
    <row r="601">
      <c r="A601" s="2" t="n"/>
      <c r="B601" s="2" t="n"/>
      <c r="C601" s="2" t="n"/>
      <c r="D601" s="2" t="n"/>
      <c r="E601" s="2" t="n"/>
      <c r="F601" s="2" t="n"/>
      <c r="G601" s="3" t="n"/>
      <c r="H601" s="2" t="n"/>
      <c r="I601" s="3" t="n"/>
      <c r="J601" s="2" t="n"/>
      <c r="K601" s="2" t="n"/>
      <c r="L601" s="2" t="n"/>
      <c r="M601" s="2" t="n"/>
      <c r="N601" s="2" t="n"/>
      <c r="O601" s="2" t="n"/>
      <c r="P601" s="2" t="n"/>
      <c r="Q601" s="4">
        <f>IF(OR(A601="",E601=""),"",IF(MAXIFS($E$2:$E$1001,$A$2:$A$1001,A601,$E$2:$E$1001,"&lt;"&amp;E601)=0,"",SUMIFS($G$2:$G$1001,$A$2:$A$1001,A601,$E$2:$E$1001,MAXIFS($E$2:$E$1001,$A$2:$A$1001,A601,$E$2:$E$1001,"&lt;"&amp;E601))))</f>
        <v/>
      </c>
      <c r="R601" s="9">
        <f>IF(OR(Q601="",G601=""),"",G601-Q601)</f>
        <v/>
      </c>
      <c r="S601" s="9">
        <f>IF(R601="","",SUMIFS($R$2:$R$1001,$A$2:$A$1001,A601,$E$2:$E$1001,"&lt;="&amp;E601))</f>
        <v/>
      </c>
      <c r="T601" s="5">
        <f>IF(A601="","",IF(R601="","initial",IF(ABS(R601)&lt;=ShiftThresholdDays,"unchanged",IF(R601&gt;0,"delayed","accelerated"))))</f>
        <v/>
      </c>
    </row>
    <row r="602">
      <c r="A602" s="2" t="n"/>
      <c r="B602" s="2" t="n"/>
      <c r="C602" s="2" t="n"/>
      <c r="D602" s="2" t="n"/>
      <c r="E602" s="2" t="n"/>
      <c r="F602" s="2" t="n"/>
      <c r="G602" s="3" t="n"/>
      <c r="H602" s="2" t="n"/>
      <c r="I602" s="3" t="n"/>
      <c r="J602" s="2" t="n"/>
      <c r="K602" s="2" t="n"/>
      <c r="L602" s="2" t="n"/>
      <c r="M602" s="2" t="n"/>
      <c r="N602" s="2" t="n"/>
      <c r="O602" s="2" t="n"/>
      <c r="P602" s="2" t="n"/>
      <c r="Q602" s="4">
        <f>IF(OR(A602="",E602=""),"",IF(MAXIFS($E$2:$E$1001,$A$2:$A$1001,A602,$E$2:$E$1001,"&lt;"&amp;E602)=0,"",SUMIFS($G$2:$G$1001,$A$2:$A$1001,A602,$E$2:$E$1001,MAXIFS($E$2:$E$1001,$A$2:$A$1001,A602,$E$2:$E$1001,"&lt;"&amp;E602))))</f>
        <v/>
      </c>
      <c r="R602" s="9">
        <f>IF(OR(Q602="",G602=""),"",G602-Q602)</f>
        <v/>
      </c>
      <c r="S602" s="9">
        <f>IF(R602="","",SUMIFS($R$2:$R$1001,$A$2:$A$1001,A602,$E$2:$E$1001,"&lt;="&amp;E602))</f>
        <v/>
      </c>
      <c r="T602" s="5">
        <f>IF(A602="","",IF(R602="","initial",IF(ABS(R602)&lt;=ShiftThresholdDays,"unchanged",IF(R602&gt;0,"delayed","accelerated"))))</f>
        <v/>
      </c>
    </row>
    <row r="603">
      <c r="A603" s="2" t="n"/>
      <c r="B603" s="2" t="n"/>
      <c r="C603" s="2" t="n"/>
      <c r="D603" s="2" t="n"/>
      <c r="E603" s="2" t="n"/>
      <c r="F603" s="2" t="n"/>
      <c r="G603" s="3" t="n"/>
      <c r="H603" s="2" t="n"/>
      <c r="I603" s="3" t="n"/>
      <c r="J603" s="2" t="n"/>
      <c r="K603" s="2" t="n"/>
      <c r="L603" s="2" t="n"/>
      <c r="M603" s="2" t="n"/>
      <c r="N603" s="2" t="n"/>
      <c r="O603" s="2" t="n"/>
      <c r="P603" s="2" t="n"/>
      <c r="Q603" s="4">
        <f>IF(OR(A603="",E603=""),"",IF(MAXIFS($E$2:$E$1001,$A$2:$A$1001,A603,$E$2:$E$1001,"&lt;"&amp;E603)=0,"",SUMIFS($G$2:$G$1001,$A$2:$A$1001,A603,$E$2:$E$1001,MAXIFS($E$2:$E$1001,$A$2:$A$1001,A603,$E$2:$E$1001,"&lt;"&amp;E603))))</f>
        <v/>
      </c>
      <c r="R603" s="9">
        <f>IF(OR(Q603="",G603=""),"",G603-Q603)</f>
        <v/>
      </c>
      <c r="S603" s="9">
        <f>IF(R603="","",SUMIFS($R$2:$R$1001,$A$2:$A$1001,A603,$E$2:$E$1001,"&lt;="&amp;E603))</f>
        <v/>
      </c>
      <c r="T603" s="5">
        <f>IF(A603="","",IF(R603="","initial",IF(ABS(R603)&lt;=ShiftThresholdDays,"unchanged",IF(R603&gt;0,"delayed","accelerated"))))</f>
        <v/>
      </c>
    </row>
    <row r="604">
      <c r="A604" s="2" t="n"/>
      <c r="B604" s="2" t="n"/>
      <c r="C604" s="2" t="n"/>
      <c r="D604" s="2" t="n"/>
      <c r="E604" s="2" t="n"/>
      <c r="F604" s="2" t="n"/>
      <c r="G604" s="3" t="n"/>
      <c r="H604" s="2" t="n"/>
      <c r="I604" s="3" t="n"/>
      <c r="J604" s="2" t="n"/>
      <c r="K604" s="2" t="n"/>
      <c r="L604" s="2" t="n"/>
      <c r="M604" s="2" t="n"/>
      <c r="N604" s="2" t="n"/>
      <c r="O604" s="2" t="n"/>
      <c r="P604" s="2" t="n"/>
      <c r="Q604" s="4">
        <f>IF(OR(A604="",E604=""),"",IF(MAXIFS($E$2:$E$1001,$A$2:$A$1001,A604,$E$2:$E$1001,"&lt;"&amp;E604)=0,"",SUMIFS($G$2:$G$1001,$A$2:$A$1001,A604,$E$2:$E$1001,MAXIFS($E$2:$E$1001,$A$2:$A$1001,A604,$E$2:$E$1001,"&lt;"&amp;E604))))</f>
        <v/>
      </c>
      <c r="R604" s="9">
        <f>IF(OR(Q604="",G604=""),"",G604-Q604)</f>
        <v/>
      </c>
      <c r="S604" s="9">
        <f>IF(R604="","",SUMIFS($R$2:$R$1001,$A$2:$A$1001,A604,$E$2:$E$1001,"&lt;="&amp;E604))</f>
        <v/>
      </c>
      <c r="T604" s="5">
        <f>IF(A604="","",IF(R604="","initial",IF(ABS(R604)&lt;=ShiftThresholdDays,"unchanged",IF(R604&gt;0,"delayed","accelerated"))))</f>
        <v/>
      </c>
    </row>
    <row r="605">
      <c r="A605" s="2" t="n"/>
      <c r="B605" s="2" t="n"/>
      <c r="C605" s="2" t="n"/>
      <c r="D605" s="2" t="n"/>
      <c r="E605" s="2" t="n"/>
      <c r="F605" s="2" t="n"/>
      <c r="G605" s="3" t="n"/>
      <c r="H605" s="2" t="n"/>
      <c r="I605" s="3" t="n"/>
      <c r="J605" s="2" t="n"/>
      <c r="K605" s="2" t="n"/>
      <c r="L605" s="2" t="n"/>
      <c r="M605" s="2" t="n"/>
      <c r="N605" s="2" t="n"/>
      <c r="O605" s="2" t="n"/>
      <c r="P605" s="2" t="n"/>
      <c r="Q605" s="4">
        <f>IF(OR(A605="",E605=""),"",IF(MAXIFS($E$2:$E$1001,$A$2:$A$1001,A605,$E$2:$E$1001,"&lt;"&amp;E605)=0,"",SUMIFS($G$2:$G$1001,$A$2:$A$1001,A605,$E$2:$E$1001,MAXIFS($E$2:$E$1001,$A$2:$A$1001,A605,$E$2:$E$1001,"&lt;"&amp;E605))))</f>
        <v/>
      </c>
      <c r="R605" s="9">
        <f>IF(OR(Q605="",G605=""),"",G605-Q605)</f>
        <v/>
      </c>
      <c r="S605" s="9">
        <f>IF(R605="","",SUMIFS($R$2:$R$1001,$A$2:$A$1001,A605,$E$2:$E$1001,"&lt;="&amp;E605))</f>
        <v/>
      </c>
      <c r="T605" s="5">
        <f>IF(A605="","",IF(R605="","initial",IF(ABS(R605)&lt;=ShiftThresholdDays,"unchanged",IF(R605&gt;0,"delayed","accelerated"))))</f>
        <v/>
      </c>
    </row>
    <row r="606">
      <c r="A606" s="2" t="n"/>
      <c r="B606" s="2" t="n"/>
      <c r="C606" s="2" t="n"/>
      <c r="D606" s="2" t="n"/>
      <c r="E606" s="2" t="n"/>
      <c r="F606" s="2" t="n"/>
      <c r="G606" s="3" t="n"/>
      <c r="H606" s="2" t="n"/>
      <c r="I606" s="3" t="n"/>
      <c r="J606" s="2" t="n"/>
      <c r="K606" s="2" t="n"/>
      <c r="L606" s="2" t="n"/>
      <c r="M606" s="2" t="n"/>
      <c r="N606" s="2" t="n"/>
      <c r="O606" s="2" t="n"/>
      <c r="P606" s="2" t="n"/>
      <c r="Q606" s="4">
        <f>IF(OR(A606="",E606=""),"",IF(MAXIFS($E$2:$E$1001,$A$2:$A$1001,A606,$E$2:$E$1001,"&lt;"&amp;E606)=0,"",SUMIFS($G$2:$G$1001,$A$2:$A$1001,A606,$E$2:$E$1001,MAXIFS($E$2:$E$1001,$A$2:$A$1001,A606,$E$2:$E$1001,"&lt;"&amp;E606))))</f>
        <v/>
      </c>
      <c r="R606" s="9">
        <f>IF(OR(Q606="",G606=""),"",G606-Q606)</f>
        <v/>
      </c>
      <c r="S606" s="9">
        <f>IF(R606="","",SUMIFS($R$2:$R$1001,$A$2:$A$1001,A606,$E$2:$E$1001,"&lt;="&amp;E606))</f>
        <v/>
      </c>
      <c r="T606" s="5">
        <f>IF(A606="","",IF(R606="","initial",IF(ABS(R606)&lt;=ShiftThresholdDays,"unchanged",IF(R606&gt;0,"delayed","accelerated"))))</f>
        <v/>
      </c>
    </row>
    <row r="607">
      <c r="A607" s="2" t="n"/>
      <c r="B607" s="2" t="n"/>
      <c r="C607" s="2" t="n"/>
      <c r="D607" s="2" t="n"/>
      <c r="E607" s="2" t="n"/>
      <c r="F607" s="2" t="n"/>
      <c r="G607" s="3" t="n"/>
      <c r="H607" s="2" t="n"/>
      <c r="I607" s="3" t="n"/>
      <c r="J607" s="2" t="n"/>
      <c r="K607" s="2" t="n"/>
      <c r="L607" s="2" t="n"/>
      <c r="M607" s="2" t="n"/>
      <c r="N607" s="2" t="n"/>
      <c r="O607" s="2" t="n"/>
      <c r="P607" s="2" t="n"/>
      <c r="Q607" s="4">
        <f>IF(OR(A607="",E607=""),"",IF(MAXIFS($E$2:$E$1001,$A$2:$A$1001,A607,$E$2:$E$1001,"&lt;"&amp;E607)=0,"",SUMIFS($G$2:$G$1001,$A$2:$A$1001,A607,$E$2:$E$1001,MAXIFS($E$2:$E$1001,$A$2:$A$1001,A607,$E$2:$E$1001,"&lt;"&amp;E607))))</f>
        <v/>
      </c>
      <c r="R607" s="9">
        <f>IF(OR(Q607="",G607=""),"",G607-Q607)</f>
        <v/>
      </c>
      <c r="S607" s="9">
        <f>IF(R607="","",SUMIFS($R$2:$R$1001,$A$2:$A$1001,A607,$E$2:$E$1001,"&lt;="&amp;E607))</f>
        <v/>
      </c>
      <c r="T607" s="5">
        <f>IF(A607="","",IF(R607="","initial",IF(ABS(R607)&lt;=ShiftThresholdDays,"unchanged",IF(R607&gt;0,"delayed","accelerated"))))</f>
        <v/>
      </c>
    </row>
    <row r="608">
      <c r="A608" s="2" t="n"/>
      <c r="B608" s="2" t="n"/>
      <c r="C608" s="2" t="n"/>
      <c r="D608" s="2" t="n"/>
      <c r="E608" s="2" t="n"/>
      <c r="F608" s="2" t="n"/>
      <c r="G608" s="3" t="n"/>
      <c r="H608" s="2" t="n"/>
      <c r="I608" s="3" t="n"/>
      <c r="J608" s="2" t="n"/>
      <c r="K608" s="2" t="n"/>
      <c r="L608" s="2" t="n"/>
      <c r="M608" s="2" t="n"/>
      <c r="N608" s="2" t="n"/>
      <c r="O608" s="2" t="n"/>
      <c r="P608" s="2" t="n"/>
      <c r="Q608" s="4">
        <f>IF(OR(A608="",E608=""),"",IF(MAXIFS($E$2:$E$1001,$A$2:$A$1001,A608,$E$2:$E$1001,"&lt;"&amp;E608)=0,"",SUMIFS($G$2:$G$1001,$A$2:$A$1001,A608,$E$2:$E$1001,MAXIFS($E$2:$E$1001,$A$2:$A$1001,A608,$E$2:$E$1001,"&lt;"&amp;E608))))</f>
        <v/>
      </c>
      <c r="R608" s="9">
        <f>IF(OR(Q608="",G608=""),"",G608-Q608)</f>
        <v/>
      </c>
      <c r="S608" s="9">
        <f>IF(R608="","",SUMIFS($R$2:$R$1001,$A$2:$A$1001,A608,$E$2:$E$1001,"&lt;="&amp;E608))</f>
        <v/>
      </c>
      <c r="T608" s="5">
        <f>IF(A608="","",IF(R608="","initial",IF(ABS(R608)&lt;=ShiftThresholdDays,"unchanged",IF(R608&gt;0,"delayed","accelerated"))))</f>
        <v/>
      </c>
    </row>
    <row r="609">
      <c r="A609" s="2" t="n"/>
      <c r="B609" s="2" t="n"/>
      <c r="C609" s="2" t="n"/>
      <c r="D609" s="2" t="n"/>
      <c r="E609" s="2" t="n"/>
      <c r="F609" s="2" t="n"/>
      <c r="G609" s="3" t="n"/>
      <c r="H609" s="2" t="n"/>
      <c r="I609" s="3" t="n"/>
      <c r="J609" s="2" t="n"/>
      <c r="K609" s="2" t="n"/>
      <c r="L609" s="2" t="n"/>
      <c r="M609" s="2" t="n"/>
      <c r="N609" s="2" t="n"/>
      <c r="O609" s="2" t="n"/>
      <c r="P609" s="2" t="n"/>
      <c r="Q609" s="4">
        <f>IF(OR(A609="",E609=""),"",IF(MAXIFS($E$2:$E$1001,$A$2:$A$1001,A609,$E$2:$E$1001,"&lt;"&amp;E609)=0,"",SUMIFS($G$2:$G$1001,$A$2:$A$1001,A609,$E$2:$E$1001,MAXIFS($E$2:$E$1001,$A$2:$A$1001,A609,$E$2:$E$1001,"&lt;"&amp;E609))))</f>
        <v/>
      </c>
      <c r="R609" s="9">
        <f>IF(OR(Q609="",G609=""),"",G609-Q609)</f>
        <v/>
      </c>
      <c r="S609" s="9">
        <f>IF(R609="","",SUMIFS($R$2:$R$1001,$A$2:$A$1001,A609,$E$2:$E$1001,"&lt;="&amp;E609))</f>
        <v/>
      </c>
      <c r="T609" s="5">
        <f>IF(A609="","",IF(R609="","initial",IF(ABS(R609)&lt;=ShiftThresholdDays,"unchanged",IF(R609&gt;0,"delayed","accelerated"))))</f>
        <v/>
      </c>
    </row>
    <row r="610">
      <c r="A610" s="2" t="n"/>
      <c r="B610" s="2" t="n"/>
      <c r="C610" s="2" t="n"/>
      <c r="D610" s="2" t="n"/>
      <c r="E610" s="2" t="n"/>
      <c r="F610" s="2" t="n"/>
      <c r="G610" s="3" t="n"/>
      <c r="H610" s="2" t="n"/>
      <c r="I610" s="3" t="n"/>
      <c r="J610" s="2" t="n"/>
      <c r="K610" s="2" t="n"/>
      <c r="L610" s="2" t="n"/>
      <c r="M610" s="2" t="n"/>
      <c r="N610" s="2" t="n"/>
      <c r="O610" s="2" t="n"/>
      <c r="P610" s="2" t="n"/>
      <c r="Q610" s="4">
        <f>IF(OR(A610="",E610=""),"",IF(MAXIFS($E$2:$E$1001,$A$2:$A$1001,A610,$E$2:$E$1001,"&lt;"&amp;E610)=0,"",SUMIFS($G$2:$G$1001,$A$2:$A$1001,A610,$E$2:$E$1001,MAXIFS($E$2:$E$1001,$A$2:$A$1001,A610,$E$2:$E$1001,"&lt;"&amp;E610))))</f>
        <v/>
      </c>
      <c r="R610" s="9">
        <f>IF(OR(Q610="",G610=""),"",G610-Q610)</f>
        <v/>
      </c>
      <c r="S610" s="9">
        <f>IF(R610="","",SUMIFS($R$2:$R$1001,$A$2:$A$1001,A610,$E$2:$E$1001,"&lt;="&amp;E610))</f>
        <v/>
      </c>
      <c r="T610" s="5">
        <f>IF(A610="","",IF(R610="","initial",IF(ABS(R610)&lt;=ShiftThresholdDays,"unchanged",IF(R610&gt;0,"delayed","accelerated"))))</f>
        <v/>
      </c>
    </row>
    <row r="611">
      <c r="A611" s="2" t="n"/>
      <c r="B611" s="2" t="n"/>
      <c r="C611" s="2" t="n"/>
      <c r="D611" s="2" t="n"/>
      <c r="E611" s="2" t="n"/>
      <c r="F611" s="2" t="n"/>
      <c r="G611" s="3" t="n"/>
      <c r="H611" s="2" t="n"/>
      <c r="I611" s="3" t="n"/>
      <c r="J611" s="2" t="n"/>
      <c r="K611" s="2" t="n"/>
      <c r="L611" s="2" t="n"/>
      <c r="M611" s="2" t="n"/>
      <c r="N611" s="2" t="n"/>
      <c r="O611" s="2" t="n"/>
      <c r="P611" s="2" t="n"/>
      <c r="Q611" s="4">
        <f>IF(OR(A611="",E611=""),"",IF(MAXIFS($E$2:$E$1001,$A$2:$A$1001,A611,$E$2:$E$1001,"&lt;"&amp;E611)=0,"",SUMIFS($G$2:$G$1001,$A$2:$A$1001,A611,$E$2:$E$1001,MAXIFS($E$2:$E$1001,$A$2:$A$1001,A611,$E$2:$E$1001,"&lt;"&amp;E611))))</f>
        <v/>
      </c>
      <c r="R611" s="9">
        <f>IF(OR(Q611="",G611=""),"",G611-Q611)</f>
        <v/>
      </c>
      <c r="S611" s="9">
        <f>IF(R611="","",SUMIFS($R$2:$R$1001,$A$2:$A$1001,A611,$E$2:$E$1001,"&lt;="&amp;E611))</f>
        <v/>
      </c>
      <c r="T611" s="5">
        <f>IF(A611="","",IF(R611="","initial",IF(ABS(R611)&lt;=ShiftThresholdDays,"unchanged",IF(R611&gt;0,"delayed","accelerated"))))</f>
        <v/>
      </c>
    </row>
    <row r="612">
      <c r="A612" s="2" t="n"/>
      <c r="B612" s="2" t="n"/>
      <c r="C612" s="2" t="n"/>
      <c r="D612" s="2" t="n"/>
      <c r="E612" s="2" t="n"/>
      <c r="F612" s="2" t="n"/>
      <c r="G612" s="3" t="n"/>
      <c r="H612" s="2" t="n"/>
      <c r="I612" s="3" t="n"/>
      <c r="J612" s="2" t="n"/>
      <c r="K612" s="2" t="n"/>
      <c r="L612" s="2" t="n"/>
      <c r="M612" s="2" t="n"/>
      <c r="N612" s="2" t="n"/>
      <c r="O612" s="2" t="n"/>
      <c r="P612" s="2" t="n"/>
      <c r="Q612" s="4">
        <f>IF(OR(A612="",E612=""),"",IF(MAXIFS($E$2:$E$1001,$A$2:$A$1001,A612,$E$2:$E$1001,"&lt;"&amp;E612)=0,"",SUMIFS($G$2:$G$1001,$A$2:$A$1001,A612,$E$2:$E$1001,MAXIFS($E$2:$E$1001,$A$2:$A$1001,A612,$E$2:$E$1001,"&lt;"&amp;E612))))</f>
        <v/>
      </c>
      <c r="R612" s="9">
        <f>IF(OR(Q612="",G612=""),"",G612-Q612)</f>
        <v/>
      </c>
      <c r="S612" s="9">
        <f>IF(R612="","",SUMIFS($R$2:$R$1001,$A$2:$A$1001,A612,$E$2:$E$1001,"&lt;="&amp;E612))</f>
        <v/>
      </c>
      <c r="T612" s="5">
        <f>IF(A612="","",IF(R612="","initial",IF(ABS(R612)&lt;=ShiftThresholdDays,"unchanged",IF(R612&gt;0,"delayed","accelerated"))))</f>
        <v/>
      </c>
    </row>
    <row r="613">
      <c r="A613" s="2" t="n"/>
      <c r="B613" s="2" t="n"/>
      <c r="C613" s="2" t="n"/>
      <c r="D613" s="2" t="n"/>
      <c r="E613" s="2" t="n"/>
      <c r="F613" s="2" t="n"/>
      <c r="G613" s="3" t="n"/>
      <c r="H613" s="2" t="n"/>
      <c r="I613" s="3" t="n"/>
      <c r="J613" s="2" t="n"/>
      <c r="K613" s="2" t="n"/>
      <c r="L613" s="2" t="n"/>
      <c r="M613" s="2" t="n"/>
      <c r="N613" s="2" t="n"/>
      <c r="O613" s="2" t="n"/>
      <c r="P613" s="2" t="n"/>
      <c r="Q613" s="4">
        <f>IF(OR(A613="",E613=""),"",IF(MAXIFS($E$2:$E$1001,$A$2:$A$1001,A613,$E$2:$E$1001,"&lt;"&amp;E613)=0,"",SUMIFS($G$2:$G$1001,$A$2:$A$1001,A613,$E$2:$E$1001,MAXIFS($E$2:$E$1001,$A$2:$A$1001,A613,$E$2:$E$1001,"&lt;"&amp;E613))))</f>
        <v/>
      </c>
      <c r="R613" s="9">
        <f>IF(OR(Q613="",G613=""),"",G613-Q613)</f>
        <v/>
      </c>
      <c r="S613" s="9">
        <f>IF(R613="","",SUMIFS($R$2:$R$1001,$A$2:$A$1001,A613,$E$2:$E$1001,"&lt;="&amp;E613))</f>
        <v/>
      </c>
      <c r="T613" s="5">
        <f>IF(A613="","",IF(R613="","initial",IF(ABS(R613)&lt;=ShiftThresholdDays,"unchanged",IF(R613&gt;0,"delayed","accelerated"))))</f>
        <v/>
      </c>
    </row>
    <row r="614">
      <c r="A614" s="2" t="n"/>
      <c r="B614" s="2" t="n"/>
      <c r="C614" s="2" t="n"/>
      <c r="D614" s="2" t="n"/>
      <c r="E614" s="2" t="n"/>
      <c r="F614" s="2" t="n"/>
      <c r="G614" s="3" t="n"/>
      <c r="H614" s="2" t="n"/>
      <c r="I614" s="3" t="n"/>
      <c r="J614" s="2" t="n"/>
      <c r="K614" s="2" t="n"/>
      <c r="L614" s="2" t="n"/>
      <c r="M614" s="2" t="n"/>
      <c r="N614" s="2" t="n"/>
      <c r="O614" s="2" t="n"/>
      <c r="P614" s="2" t="n"/>
      <c r="Q614" s="4">
        <f>IF(OR(A614="",E614=""),"",IF(MAXIFS($E$2:$E$1001,$A$2:$A$1001,A614,$E$2:$E$1001,"&lt;"&amp;E614)=0,"",SUMIFS($G$2:$G$1001,$A$2:$A$1001,A614,$E$2:$E$1001,MAXIFS($E$2:$E$1001,$A$2:$A$1001,A614,$E$2:$E$1001,"&lt;"&amp;E614))))</f>
        <v/>
      </c>
      <c r="R614" s="9">
        <f>IF(OR(Q614="",G614=""),"",G614-Q614)</f>
        <v/>
      </c>
      <c r="S614" s="9">
        <f>IF(R614="","",SUMIFS($R$2:$R$1001,$A$2:$A$1001,A614,$E$2:$E$1001,"&lt;="&amp;E614))</f>
        <v/>
      </c>
      <c r="T614" s="5">
        <f>IF(A614="","",IF(R614="","initial",IF(ABS(R614)&lt;=ShiftThresholdDays,"unchanged",IF(R614&gt;0,"delayed","accelerated"))))</f>
        <v/>
      </c>
    </row>
    <row r="615">
      <c r="A615" s="2" t="n"/>
      <c r="B615" s="2" t="n"/>
      <c r="C615" s="2" t="n"/>
      <c r="D615" s="2" t="n"/>
      <c r="E615" s="2" t="n"/>
      <c r="F615" s="2" t="n"/>
      <c r="G615" s="3" t="n"/>
      <c r="H615" s="2" t="n"/>
      <c r="I615" s="3" t="n"/>
      <c r="J615" s="2" t="n"/>
      <c r="K615" s="2" t="n"/>
      <c r="L615" s="2" t="n"/>
      <c r="M615" s="2" t="n"/>
      <c r="N615" s="2" t="n"/>
      <c r="O615" s="2" t="n"/>
      <c r="P615" s="2" t="n"/>
      <c r="Q615" s="4">
        <f>IF(OR(A615="",E615=""),"",IF(MAXIFS($E$2:$E$1001,$A$2:$A$1001,A615,$E$2:$E$1001,"&lt;"&amp;E615)=0,"",SUMIFS($G$2:$G$1001,$A$2:$A$1001,A615,$E$2:$E$1001,MAXIFS($E$2:$E$1001,$A$2:$A$1001,A615,$E$2:$E$1001,"&lt;"&amp;E615))))</f>
        <v/>
      </c>
      <c r="R615" s="9">
        <f>IF(OR(Q615="",G615=""),"",G615-Q615)</f>
        <v/>
      </c>
      <c r="S615" s="9">
        <f>IF(R615="","",SUMIFS($R$2:$R$1001,$A$2:$A$1001,A615,$E$2:$E$1001,"&lt;="&amp;E615))</f>
        <v/>
      </c>
      <c r="T615" s="5">
        <f>IF(A615="","",IF(R615="","initial",IF(ABS(R615)&lt;=ShiftThresholdDays,"unchanged",IF(R615&gt;0,"delayed","accelerated"))))</f>
        <v/>
      </c>
    </row>
    <row r="616">
      <c r="A616" s="2" t="n"/>
      <c r="B616" s="2" t="n"/>
      <c r="C616" s="2" t="n"/>
      <c r="D616" s="2" t="n"/>
      <c r="E616" s="2" t="n"/>
      <c r="F616" s="2" t="n"/>
      <c r="G616" s="3" t="n"/>
      <c r="H616" s="2" t="n"/>
      <c r="I616" s="3" t="n"/>
      <c r="J616" s="2" t="n"/>
      <c r="K616" s="2" t="n"/>
      <c r="L616" s="2" t="n"/>
      <c r="M616" s="2" t="n"/>
      <c r="N616" s="2" t="n"/>
      <c r="O616" s="2" t="n"/>
      <c r="P616" s="2" t="n"/>
      <c r="Q616" s="4">
        <f>IF(OR(A616="",E616=""),"",IF(MAXIFS($E$2:$E$1001,$A$2:$A$1001,A616,$E$2:$E$1001,"&lt;"&amp;E616)=0,"",SUMIFS($G$2:$G$1001,$A$2:$A$1001,A616,$E$2:$E$1001,MAXIFS($E$2:$E$1001,$A$2:$A$1001,A616,$E$2:$E$1001,"&lt;"&amp;E616))))</f>
        <v/>
      </c>
      <c r="R616" s="9">
        <f>IF(OR(Q616="",G616=""),"",G616-Q616)</f>
        <v/>
      </c>
      <c r="S616" s="9">
        <f>IF(R616="","",SUMIFS($R$2:$R$1001,$A$2:$A$1001,A616,$E$2:$E$1001,"&lt;="&amp;E616))</f>
        <v/>
      </c>
      <c r="T616" s="5">
        <f>IF(A616="","",IF(R616="","initial",IF(ABS(R616)&lt;=ShiftThresholdDays,"unchanged",IF(R616&gt;0,"delayed","accelerated"))))</f>
        <v/>
      </c>
    </row>
    <row r="617">
      <c r="A617" s="2" t="n"/>
      <c r="B617" s="2" t="n"/>
      <c r="C617" s="2" t="n"/>
      <c r="D617" s="2" t="n"/>
      <c r="E617" s="2" t="n"/>
      <c r="F617" s="2" t="n"/>
      <c r="G617" s="3" t="n"/>
      <c r="H617" s="2" t="n"/>
      <c r="I617" s="3" t="n"/>
      <c r="J617" s="2" t="n"/>
      <c r="K617" s="2" t="n"/>
      <c r="L617" s="2" t="n"/>
      <c r="M617" s="2" t="n"/>
      <c r="N617" s="2" t="n"/>
      <c r="O617" s="2" t="n"/>
      <c r="P617" s="2" t="n"/>
      <c r="Q617" s="4">
        <f>IF(OR(A617="",E617=""),"",IF(MAXIFS($E$2:$E$1001,$A$2:$A$1001,A617,$E$2:$E$1001,"&lt;"&amp;E617)=0,"",SUMIFS($G$2:$G$1001,$A$2:$A$1001,A617,$E$2:$E$1001,MAXIFS($E$2:$E$1001,$A$2:$A$1001,A617,$E$2:$E$1001,"&lt;"&amp;E617))))</f>
        <v/>
      </c>
      <c r="R617" s="9">
        <f>IF(OR(Q617="",G617=""),"",G617-Q617)</f>
        <v/>
      </c>
      <c r="S617" s="9">
        <f>IF(R617="","",SUMIFS($R$2:$R$1001,$A$2:$A$1001,A617,$E$2:$E$1001,"&lt;="&amp;E617))</f>
        <v/>
      </c>
      <c r="T617" s="5">
        <f>IF(A617="","",IF(R617="","initial",IF(ABS(R617)&lt;=ShiftThresholdDays,"unchanged",IF(R617&gt;0,"delayed","accelerated"))))</f>
        <v/>
      </c>
    </row>
    <row r="618">
      <c r="A618" s="2" t="n"/>
      <c r="B618" s="2" t="n"/>
      <c r="C618" s="2" t="n"/>
      <c r="D618" s="2" t="n"/>
      <c r="E618" s="2" t="n"/>
      <c r="F618" s="2" t="n"/>
      <c r="G618" s="3" t="n"/>
      <c r="H618" s="2" t="n"/>
      <c r="I618" s="3" t="n"/>
      <c r="J618" s="2" t="n"/>
      <c r="K618" s="2" t="n"/>
      <c r="L618" s="2" t="n"/>
      <c r="M618" s="2" t="n"/>
      <c r="N618" s="2" t="n"/>
      <c r="O618" s="2" t="n"/>
      <c r="P618" s="2" t="n"/>
      <c r="Q618" s="4">
        <f>IF(OR(A618="",E618=""),"",IF(MAXIFS($E$2:$E$1001,$A$2:$A$1001,A618,$E$2:$E$1001,"&lt;"&amp;E618)=0,"",SUMIFS($G$2:$G$1001,$A$2:$A$1001,A618,$E$2:$E$1001,MAXIFS($E$2:$E$1001,$A$2:$A$1001,A618,$E$2:$E$1001,"&lt;"&amp;E618))))</f>
        <v/>
      </c>
      <c r="R618" s="9">
        <f>IF(OR(Q618="",G618=""),"",G618-Q618)</f>
        <v/>
      </c>
      <c r="S618" s="9">
        <f>IF(R618="","",SUMIFS($R$2:$R$1001,$A$2:$A$1001,A618,$E$2:$E$1001,"&lt;="&amp;E618))</f>
        <v/>
      </c>
      <c r="T618" s="5">
        <f>IF(A618="","",IF(R618="","initial",IF(ABS(R618)&lt;=ShiftThresholdDays,"unchanged",IF(R618&gt;0,"delayed","accelerated"))))</f>
        <v/>
      </c>
    </row>
    <row r="619">
      <c r="A619" s="2" t="n"/>
      <c r="B619" s="2" t="n"/>
      <c r="C619" s="2" t="n"/>
      <c r="D619" s="2" t="n"/>
      <c r="E619" s="2" t="n"/>
      <c r="F619" s="2" t="n"/>
      <c r="G619" s="3" t="n"/>
      <c r="H619" s="2" t="n"/>
      <c r="I619" s="3" t="n"/>
      <c r="J619" s="2" t="n"/>
      <c r="K619" s="2" t="n"/>
      <c r="L619" s="2" t="n"/>
      <c r="M619" s="2" t="n"/>
      <c r="N619" s="2" t="n"/>
      <c r="O619" s="2" t="n"/>
      <c r="P619" s="2" t="n"/>
      <c r="Q619" s="4">
        <f>IF(OR(A619="",E619=""),"",IF(MAXIFS($E$2:$E$1001,$A$2:$A$1001,A619,$E$2:$E$1001,"&lt;"&amp;E619)=0,"",SUMIFS($G$2:$G$1001,$A$2:$A$1001,A619,$E$2:$E$1001,MAXIFS($E$2:$E$1001,$A$2:$A$1001,A619,$E$2:$E$1001,"&lt;"&amp;E619))))</f>
        <v/>
      </c>
      <c r="R619" s="9">
        <f>IF(OR(Q619="",G619=""),"",G619-Q619)</f>
        <v/>
      </c>
      <c r="S619" s="9">
        <f>IF(R619="","",SUMIFS($R$2:$R$1001,$A$2:$A$1001,A619,$E$2:$E$1001,"&lt;="&amp;E619))</f>
        <v/>
      </c>
      <c r="T619" s="5">
        <f>IF(A619="","",IF(R619="","initial",IF(ABS(R619)&lt;=ShiftThresholdDays,"unchanged",IF(R619&gt;0,"delayed","accelerated"))))</f>
        <v/>
      </c>
    </row>
    <row r="620">
      <c r="A620" s="2" t="n"/>
      <c r="B620" s="2" t="n"/>
      <c r="C620" s="2" t="n"/>
      <c r="D620" s="2" t="n"/>
      <c r="E620" s="2" t="n"/>
      <c r="F620" s="2" t="n"/>
      <c r="G620" s="3" t="n"/>
      <c r="H620" s="2" t="n"/>
      <c r="I620" s="3" t="n"/>
      <c r="J620" s="2" t="n"/>
      <c r="K620" s="2" t="n"/>
      <c r="L620" s="2" t="n"/>
      <c r="M620" s="2" t="n"/>
      <c r="N620" s="2" t="n"/>
      <c r="O620" s="2" t="n"/>
      <c r="P620" s="2" t="n"/>
      <c r="Q620" s="4">
        <f>IF(OR(A620="",E620=""),"",IF(MAXIFS($E$2:$E$1001,$A$2:$A$1001,A620,$E$2:$E$1001,"&lt;"&amp;E620)=0,"",SUMIFS($G$2:$G$1001,$A$2:$A$1001,A620,$E$2:$E$1001,MAXIFS($E$2:$E$1001,$A$2:$A$1001,A620,$E$2:$E$1001,"&lt;"&amp;E620))))</f>
        <v/>
      </c>
      <c r="R620" s="9">
        <f>IF(OR(Q620="",G620=""),"",G620-Q620)</f>
        <v/>
      </c>
      <c r="S620" s="9">
        <f>IF(R620="","",SUMIFS($R$2:$R$1001,$A$2:$A$1001,A620,$E$2:$E$1001,"&lt;="&amp;E620))</f>
        <v/>
      </c>
      <c r="T620" s="5">
        <f>IF(A620="","",IF(R620="","initial",IF(ABS(R620)&lt;=ShiftThresholdDays,"unchanged",IF(R620&gt;0,"delayed","accelerated"))))</f>
        <v/>
      </c>
    </row>
    <row r="621">
      <c r="A621" s="2" t="n"/>
      <c r="B621" s="2" t="n"/>
      <c r="C621" s="2" t="n"/>
      <c r="D621" s="2" t="n"/>
      <c r="E621" s="2" t="n"/>
      <c r="F621" s="2" t="n"/>
      <c r="G621" s="3" t="n"/>
      <c r="H621" s="2" t="n"/>
      <c r="I621" s="3" t="n"/>
      <c r="J621" s="2" t="n"/>
      <c r="K621" s="2" t="n"/>
      <c r="L621" s="2" t="n"/>
      <c r="M621" s="2" t="n"/>
      <c r="N621" s="2" t="n"/>
      <c r="O621" s="2" t="n"/>
      <c r="P621" s="2" t="n"/>
      <c r="Q621" s="4">
        <f>IF(OR(A621="",E621=""),"",IF(MAXIFS($E$2:$E$1001,$A$2:$A$1001,A621,$E$2:$E$1001,"&lt;"&amp;E621)=0,"",SUMIFS($G$2:$G$1001,$A$2:$A$1001,A621,$E$2:$E$1001,MAXIFS($E$2:$E$1001,$A$2:$A$1001,A621,$E$2:$E$1001,"&lt;"&amp;E621))))</f>
        <v/>
      </c>
      <c r="R621" s="9">
        <f>IF(OR(Q621="",G621=""),"",G621-Q621)</f>
        <v/>
      </c>
      <c r="S621" s="9">
        <f>IF(R621="","",SUMIFS($R$2:$R$1001,$A$2:$A$1001,A621,$E$2:$E$1001,"&lt;="&amp;E621))</f>
        <v/>
      </c>
      <c r="T621" s="5">
        <f>IF(A621="","",IF(R621="","initial",IF(ABS(R621)&lt;=ShiftThresholdDays,"unchanged",IF(R621&gt;0,"delayed","accelerated"))))</f>
        <v/>
      </c>
    </row>
    <row r="622">
      <c r="A622" s="2" t="n"/>
      <c r="B622" s="2" t="n"/>
      <c r="C622" s="2" t="n"/>
      <c r="D622" s="2" t="n"/>
      <c r="E622" s="2" t="n"/>
      <c r="F622" s="2" t="n"/>
      <c r="G622" s="3" t="n"/>
      <c r="H622" s="2" t="n"/>
      <c r="I622" s="3" t="n"/>
      <c r="J622" s="2" t="n"/>
      <c r="K622" s="2" t="n"/>
      <c r="L622" s="2" t="n"/>
      <c r="M622" s="2" t="n"/>
      <c r="N622" s="2" t="n"/>
      <c r="O622" s="2" t="n"/>
      <c r="P622" s="2" t="n"/>
      <c r="Q622" s="4">
        <f>IF(OR(A622="",E622=""),"",IF(MAXIFS($E$2:$E$1001,$A$2:$A$1001,A622,$E$2:$E$1001,"&lt;"&amp;E622)=0,"",SUMIFS($G$2:$G$1001,$A$2:$A$1001,A622,$E$2:$E$1001,MAXIFS($E$2:$E$1001,$A$2:$A$1001,A622,$E$2:$E$1001,"&lt;"&amp;E622))))</f>
        <v/>
      </c>
      <c r="R622" s="9">
        <f>IF(OR(Q622="",G622=""),"",G622-Q622)</f>
        <v/>
      </c>
      <c r="S622" s="9">
        <f>IF(R622="","",SUMIFS($R$2:$R$1001,$A$2:$A$1001,A622,$E$2:$E$1001,"&lt;="&amp;E622))</f>
        <v/>
      </c>
      <c r="T622" s="5">
        <f>IF(A622="","",IF(R622="","initial",IF(ABS(R622)&lt;=ShiftThresholdDays,"unchanged",IF(R622&gt;0,"delayed","accelerated"))))</f>
        <v/>
      </c>
    </row>
    <row r="623">
      <c r="A623" s="2" t="n"/>
      <c r="B623" s="2" t="n"/>
      <c r="C623" s="2" t="n"/>
      <c r="D623" s="2" t="n"/>
      <c r="E623" s="2" t="n"/>
      <c r="F623" s="2" t="n"/>
      <c r="G623" s="3" t="n"/>
      <c r="H623" s="2" t="n"/>
      <c r="I623" s="3" t="n"/>
      <c r="J623" s="2" t="n"/>
      <c r="K623" s="2" t="n"/>
      <c r="L623" s="2" t="n"/>
      <c r="M623" s="2" t="n"/>
      <c r="N623" s="2" t="n"/>
      <c r="O623" s="2" t="n"/>
      <c r="P623" s="2" t="n"/>
      <c r="Q623" s="4">
        <f>IF(OR(A623="",E623=""),"",IF(MAXIFS($E$2:$E$1001,$A$2:$A$1001,A623,$E$2:$E$1001,"&lt;"&amp;E623)=0,"",SUMIFS($G$2:$G$1001,$A$2:$A$1001,A623,$E$2:$E$1001,MAXIFS($E$2:$E$1001,$A$2:$A$1001,A623,$E$2:$E$1001,"&lt;"&amp;E623))))</f>
        <v/>
      </c>
      <c r="R623" s="9">
        <f>IF(OR(Q623="",G623=""),"",G623-Q623)</f>
        <v/>
      </c>
      <c r="S623" s="9">
        <f>IF(R623="","",SUMIFS($R$2:$R$1001,$A$2:$A$1001,A623,$E$2:$E$1001,"&lt;="&amp;E623))</f>
        <v/>
      </c>
      <c r="T623" s="5">
        <f>IF(A623="","",IF(R623="","initial",IF(ABS(R623)&lt;=ShiftThresholdDays,"unchanged",IF(R623&gt;0,"delayed","accelerated"))))</f>
        <v/>
      </c>
    </row>
    <row r="624">
      <c r="A624" s="2" t="n"/>
      <c r="B624" s="2" t="n"/>
      <c r="C624" s="2" t="n"/>
      <c r="D624" s="2" t="n"/>
      <c r="E624" s="2" t="n"/>
      <c r="F624" s="2" t="n"/>
      <c r="G624" s="3" t="n"/>
      <c r="H624" s="2" t="n"/>
      <c r="I624" s="3" t="n"/>
      <c r="J624" s="2" t="n"/>
      <c r="K624" s="2" t="n"/>
      <c r="L624" s="2" t="n"/>
      <c r="M624" s="2" t="n"/>
      <c r="N624" s="2" t="n"/>
      <c r="O624" s="2" t="n"/>
      <c r="P624" s="2" t="n"/>
      <c r="Q624" s="4">
        <f>IF(OR(A624="",E624=""),"",IF(MAXIFS($E$2:$E$1001,$A$2:$A$1001,A624,$E$2:$E$1001,"&lt;"&amp;E624)=0,"",SUMIFS($G$2:$G$1001,$A$2:$A$1001,A624,$E$2:$E$1001,MAXIFS($E$2:$E$1001,$A$2:$A$1001,A624,$E$2:$E$1001,"&lt;"&amp;E624))))</f>
        <v/>
      </c>
      <c r="R624" s="9">
        <f>IF(OR(Q624="",G624=""),"",G624-Q624)</f>
        <v/>
      </c>
      <c r="S624" s="9">
        <f>IF(R624="","",SUMIFS($R$2:$R$1001,$A$2:$A$1001,A624,$E$2:$E$1001,"&lt;="&amp;E624))</f>
        <v/>
      </c>
      <c r="T624" s="5">
        <f>IF(A624="","",IF(R624="","initial",IF(ABS(R624)&lt;=ShiftThresholdDays,"unchanged",IF(R624&gt;0,"delayed","accelerated"))))</f>
        <v/>
      </c>
    </row>
    <row r="625">
      <c r="A625" s="2" t="n"/>
      <c r="B625" s="2" t="n"/>
      <c r="C625" s="2" t="n"/>
      <c r="D625" s="2" t="n"/>
      <c r="E625" s="2" t="n"/>
      <c r="F625" s="2" t="n"/>
      <c r="G625" s="3" t="n"/>
      <c r="H625" s="2" t="n"/>
      <c r="I625" s="3" t="n"/>
      <c r="J625" s="2" t="n"/>
      <c r="K625" s="2" t="n"/>
      <c r="L625" s="2" t="n"/>
      <c r="M625" s="2" t="n"/>
      <c r="N625" s="2" t="n"/>
      <c r="O625" s="2" t="n"/>
      <c r="P625" s="2" t="n"/>
      <c r="Q625" s="4">
        <f>IF(OR(A625="",E625=""),"",IF(MAXIFS($E$2:$E$1001,$A$2:$A$1001,A625,$E$2:$E$1001,"&lt;"&amp;E625)=0,"",SUMIFS($G$2:$G$1001,$A$2:$A$1001,A625,$E$2:$E$1001,MAXIFS($E$2:$E$1001,$A$2:$A$1001,A625,$E$2:$E$1001,"&lt;"&amp;E625))))</f>
        <v/>
      </c>
      <c r="R625" s="9">
        <f>IF(OR(Q625="",G625=""),"",G625-Q625)</f>
        <v/>
      </c>
      <c r="S625" s="9">
        <f>IF(R625="","",SUMIFS($R$2:$R$1001,$A$2:$A$1001,A625,$E$2:$E$1001,"&lt;="&amp;E625))</f>
        <v/>
      </c>
      <c r="T625" s="5">
        <f>IF(A625="","",IF(R625="","initial",IF(ABS(R625)&lt;=ShiftThresholdDays,"unchanged",IF(R625&gt;0,"delayed","accelerated"))))</f>
        <v/>
      </c>
    </row>
    <row r="626">
      <c r="A626" s="2" t="n"/>
      <c r="B626" s="2" t="n"/>
      <c r="C626" s="2" t="n"/>
      <c r="D626" s="2" t="n"/>
      <c r="E626" s="2" t="n"/>
      <c r="F626" s="2" t="n"/>
      <c r="G626" s="3" t="n"/>
      <c r="H626" s="2" t="n"/>
      <c r="I626" s="3" t="n"/>
      <c r="J626" s="2" t="n"/>
      <c r="K626" s="2" t="n"/>
      <c r="L626" s="2" t="n"/>
      <c r="M626" s="2" t="n"/>
      <c r="N626" s="2" t="n"/>
      <c r="O626" s="2" t="n"/>
      <c r="P626" s="2" t="n"/>
      <c r="Q626" s="4">
        <f>IF(OR(A626="",E626=""),"",IF(MAXIFS($E$2:$E$1001,$A$2:$A$1001,A626,$E$2:$E$1001,"&lt;"&amp;E626)=0,"",SUMIFS($G$2:$G$1001,$A$2:$A$1001,A626,$E$2:$E$1001,MAXIFS($E$2:$E$1001,$A$2:$A$1001,A626,$E$2:$E$1001,"&lt;"&amp;E626))))</f>
        <v/>
      </c>
      <c r="R626" s="9">
        <f>IF(OR(Q626="",G626=""),"",G626-Q626)</f>
        <v/>
      </c>
      <c r="S626" s="9">
        <f>IF(R626="","",SUMIFS($R$2:$R$1001,$A$2:$A$1001,A626,$E$2:$E$1001,"&lt;="&amp;E626))</f>
        <v/>
      </c>
      <c r="T626" s="5">
        <f>IF(A626="","",IF(R626="","initial",IF(ABS(R626)&lt;=ShiftThresholdDays,"unchanged",IF(R626&gt;0,"delayed","accelerated"))))</f>
        <v/>
      </c>
    </row>
    <row r="627">
      <c r="A627" s="2" t="n"/>
      <c r="B627" s="2" t="n"/>
      <c r="C627" s="2" t="n"/>
      <c r="D627" s="2" t="n"/>
      <c r="E627" s="2" t="n"/>
      <c r="F627" s="2" t="n"/>
      <c r="G627" s="3" t="n"/>
      <c r="H627" s="2" t="n"/>
      <c r="I627" s="3" t="n"/>
      <c r="J627" s="2" t="n"/>
      <c r="K627" s="2" t="n"/>
      <c r="L627" s="2" t="n"/>
      <c r="M627" s="2" t="n"/>
      <c r="N627" s="2" t="n"/>
      <c r="O627" s="2" t="n"/>
      <c r="P627" s="2" t="n"/>
      <c r="Q627" s="4">
        <f>IF(OR(A627="",E627=""),"",IF(MAXIFS($E$2:$E$1001,$A$2:$A$1001,A627,$E$2:$E$1001,"&lt;"&amp;E627)=0,"",SUMIFS($G$2:$G$1001,$A$2:$A$1001,A627,$E$2:$E$1001,MAXIFS($E$2:$E$1001,$A$2:$A$1001,A627,$E$2:$E$1001,"&lt;"&amp;E627))))</f>
        <v/>
      </c>
      <c r="R627" s="9">
        <f>IF(OR(Q627="",G627=""),"",G627-Q627)</f>
        <v/>
      </c>
      <c r="S627" s="9">
        <f>IF(R627="","",SUMIFS($R$2:$R$1001,$A$2:$A$1001,A627,$E$2:$E$1001,"&lt;="&amp;E627))</f>
        <v/>
      </c>
      <c r="T627" s="5">
        <f>IF(A627="","",IF(R627="","initial",IF(ABS(R627)&lt;=ShiftThresholdDays,"unchanged",IF(R627&gt;0,"delayed","accelerated"))))</f>
        <v/>
      </c>
    </row>
    <row r="628">
      <c r="A628" s="2" t="n"/>
      <c r="B628" s="2" t="n"/>
      <c r="C628" s="2" t="n"/>
      <c r="D628" s="2" t="n"/>
      <c r="E628" s="2" t="n"/>
      <c r="F628" s="2" t="n"/>
      <c r="G628" s="3" t="n"/>
      <c r="H628" s="2" t="n"/>
      <c r="I628" s="3" t="n"/>
      <c r="J628" s="2" t="n"/>
      <c r="K628" s="2" t="n"/>
      <c r="L628" s="2" t="n"/>
      <c r="M628" s="2" t="n"/>
      <c r="N628" s="2" t="n"/>
      <c r="O628" s="2" t="n"/>
      <c r="P628" s="2" t="n"/>
      <c r="Q628" s="4">
        <f>IF(OR(A628="",E628=""),"",IF(MAXIFS($E$2:$E$1001,$A$2:$A$1001,A628,$E$2:$E$1001,"&lt;"&amp;E628)=0,"",SUMIFS($G$2:$G$1001,$A$2:$A$1001,A628,$E$2:$E$1001,MAXIFS($E$2:$E$1001,$A$2:$A$1001,A628,$E$2:$E$1001,"&lt;"&amp;E628))))</f>
        <v/>
      </c>
      <c r="R628" s="9">
        <f>IF(OR(Q628="",G628=""),"",G628-Q628)</f>
        <v/>
      </c>
      <c r="S628" s="9">
        <f>IF(R628="","",SUMIFS($R$2:$R$1001,$A$2:$A$1001,A628,$E$2:$E$1001,"&lt;="&amp;E628))</f>
        <v/>
      </c>
      <c r="T628" s="5">
        <f>IF(A628="","",IF(R628="","initial",IF(ABS(R628)&lt;=ShiftThresholdDays,"unchanged",IF(R628&gt;0,"delayed","accelerated"))))</f>
        <v/>
      </c>
    </row>
    <row r="629">
      <c r="A629" s="2" t="n"/>
      <c r="B629" s="2" t="n"/>
      <c r="C629" s="2" t="n"/>
      <c r="D629" s="2" t="n"/>
      <c r="E629" s="2" t="n"/>
      <c r="F629" s="2" t="n"/>
      <c r="G629" s="3" t="n"/>
      <c r="H629" s="2" t="n"/>
      <c r="I629" s="3" t="n"/>
      <c r="J629" s="2" t="n"/>
      <c r="K629" s="2" t="n"/>
      <c r="L629" s="2" t="n"/>
      <c r="M629" s="2" t="n"/>
      <c r="N629" s="2" t="n"/>
      <c r="O629" s="2" t="n"/>
      <c r="P629" s="2" t="n"/>
      <c r="Q629" s="4">
        <f>IF(OR(A629="",E629=""),"",IF(MAXIFS($E$2:$E$1001,$A$2:$A$1001,A629,$E$2:$E$1001,"&lt;"&amp;E629)=0,"",SUMIFS($G$2:$G$1001,$A$2:$A$1001,A629,$E$2:$E$1001,MAXIFS($E$2:$E$1001,$A$2:$A$1001,A629,$E$2:$E$1001,"&lt;"&amp;E629))))</f>
        <v/>
      </c>
      <c r="R629" s="9">
        <f>IF(OR(Q629="",G629=""),"",G629-Q629)</f>
        <v/>
      </c>
      <c r="S629" s="9">
        <f>IF(R629="","",SUMIFS($R$2:$R$1001,$A$2:$A$1001,A629,$E$2:$E$1001,"&lt;="&amp;E629))</f>
        <v/>
      </c>
      <c r="T629" s="5">
        <f>IF(A629="","",IF(R629="","initial",IF(ABS(R629)&lt;=ShiftThresholdDays,"unchanged",IF(R629&gt;0,"delayed","accelerated"))))</f>
        <v/>
      </c>
    </row>
    <row r="630">
      <c r="A630" s="2" t="n"/>
      <c r="B630" s="2" t="n"/>
      <c r="C630" s="2" t="n"/>
      <c r="D630" s="2" t="n"/>
      <c r="E630" s="2" t="n"/>
      <c r="F630" s="2" t="n"/>
      <c r="G630" s="3" t="n"/>
      <c r="H630" s="2" t="n"/>
      <c r="I630" s="3" t="n"/>
      <c r="J630" s="2" t="n"/>
      <c r="K630" s="2" t="n"/>
      <c r="L630" s="2" t="n"/>
      <c r="M630" s="2" t="n"/>
      <c r="N630" s="2" t="n"/>
      <c r="O630" s="2" t="n"/>
      <c r="P630" s="2" t="n"/>
      <c r="Q630" s="4">
        <f>IF(OR(A630="",E630=""),"",IF(MAXIFS($E$2:$E$1001,$A$2:$A$1001,A630,$E$2:$E$1001,"&lt;"&amp;E630)=0,"",SUMIFS($G$2:$G$1001,$A$2:$A$1001,A630,$E$2:$E$1001,MAXIFS($E$2:$E$1001,$A$2:$A$1001,A630,$E$2:$E$1001,"&lt;"&amp;E630))))</f>
        <v/>
      </c>
      <c r="R630" s="9">
        <f>IF(OR(Q630="",G630=""),"",G630-Q630)</f>
        <v/>
      </c>
      <c r="S630" s="9">
        <f>IF(R630="","",SUMIFS($R$2:$R$1001,$A$2:$A$1001,A630,$E$2:$E$1001,"&lt;="&amp;E630))</f>
        <v/>
      </c>
      <c r="T630" s="5">
        <f>IF(A630="","",IF(R630="","initial",IF(ABS(R630)&lt;=ShiftThresholdDays,"unchanged",IF(R630&gt;0,"delayed","accelerated"))))</f>
        <v/>
      </c>
    </row>
    <row r="631">
      <c r="A631" s="2" t="n"/>
      <c r="B631" s="2" t="n"/>
      <c r="C631" s="2" t="n"/>
      <c r="D631" s="2" t="n"/>
      <c r="E631" s="2" t="n"/>
      <c r="F631" s="2" t="n"/>
      <c r="G631" s="3" t="n"/>
      <c r="H631" s="2" t="n"/>
      <c r="I631" s="3" t="n"/>
      <c r="J631" s="2" t="n"/>
      <c r="K631" s="2" t="n"/>
      <c r="L631" s="2" t="n"/>
      <c r="M631" s="2" t="n"/>
      <c r="N631" s="2" t="n"/>
      <c r="O631" s="2" t="n"/>
      <c r="P631" s="2" t="n"/>
      <c r="Q631" s="4">
        <f>IF(OR(A631="",E631=""),"",IF(MAXIFS($E$2:$E$1001,$A$2:$A$1001,A631,$E$2:$E$1001,"&lt;"&amp;E631)=0,"",SUMIFS($G$2:$G$1001,$A$2:$A$1001,A631,$E$2:$E$1001,MAXIFS($E$2:$E$1001,$A$2:$A$1001,A631,$E$2:$E$1001,"&lt;"&amp;E631))))</f>
        <v/>
      </c>
      <c r="R631" s="9">
        <f>IF(OR(Q631="",G631=""),"",G631-Q631)</f>
        <v/>
      </c>
      <c r="S631" s="9">
        <f>IF(R631="","",SUMIFS($R$2:$R$1001,$A$2:$A$1001,A631,$E$2:$E$1001,"&lt;="&amp;E631))</f>
        <v/>
      </c>
      <c r="T631" s="5">
        <f>IF(A631="","",IF(R631="","initial",IF(ABS(R631)&lt;=ShiftThresholdDays,"unchanged",IF(R631&gt;0,"delayed","accelerated"))))</f>
        <v/>
      </c>
    </row>
    <row r="632">
      <c r="A632" s="2" t="n"/>
      <c r="B632" s="2" t="n"/>
      <c r="C632" s="2" t="n"/>
      <c r="D632" s="2" t="n"/>
      <c r="E632" s="2" t="n"/>
      <c r="F632" s="2" t="n"/>
      <c r="G632" s="3" t="n"/>
      <c r="H632" s="2" t="n"/>
      <c r="I632" s="3" t="n"/>
      <c r="J632" s="2" t="n"/>
      <c r="K632" s="2" t="n"/>
      <c r="L632" s="2" t="n"/>
      <c r="M632" s="2" t="n"/>
      <c r="N632" s="2" t="n"/>
      <c r="O632" s="2" t="n"/>
      <c r="P632" s="2" t="n"/>
      <c r="Q632" s="4">
        <f>IF(OR(A632="",E632=""),"",IF(MAXIFS($E$2:$E$1001,$A$2:$A$1001,A632,$E$2:$E$1001,"&lt;"&amp;E632)=0,"",SUMIFS($G$2:$G$1001,$A$2:$A$1001,A632,$E$2:$E$1001,MAXIFS($E$2:$E$1001,$A$2:$A$1001,A632,$E$2:$E$1001,"&lt;"&amp;E632))))</f>
        <v/>
      </c>
      <c r="R632" s="9">
        <f>IF(OR(Q632="",G632=""),"",G632-Q632)</f>
        <v/>
      </c>
      <c r="S632" s="9">
        <f>IF(R632="","",SUMIFS($R$2:$R$1001,$A$2:$A$1001,A632,$E$2:$E$1001,"&lt;="&amp;E632))</f>
        <v/>
      </c>
      <c r="T632" s="5">
        <f>IF(A632="","",IF(R632="","initial",IF(ABS(R632)&lt;=ShiftThresholdDays,"unchanged",IF(R632&gt;0,"delayed","accelerated"))))</f>
        <v/>
      </c>
    </row>
    <row r="633">
      <c r="A633" s="2" t="n"/>
      <c r="B633" s="2" t="n"/>
      <c r="C633" s="2" t="n"/>
      <c r="D633" s="2" t="n"/>
      <c r="E633" s="2" t="n"/>
      <c r="F633" s="2" t="n"/>
      <c r="G633" s="3" t="n"/>
      <c r="H633" s="2" t="n"/>
      <c r="I633" s="3" t="n"/>
      <c r="J633" s="2" t="n"/>
      <c r="K633" s="2" t="n"/>
      <c r="L633" s="2" t="n"/>
      <c r="M633" s="2" t="n"/>
      <c r="N633" s="2" t="n"/>
      <c r="O633" s="2" t="n"/>
      <c r="P633" s="2" t="n"/>
      <c r="Q633" s="4">
        <f>IF(OR(A633="",E633=""),"",IF(MAXIFS($E$2:$E$1001,$A$2:$A$1001,A633,$E$2:$E$1001,"&lt;"&amp;E633)=0,"",SUMIFS($G$2:$G$1001,$A$2:$A$1001,A633,$E$2:$E$1001,MAXIFS($E$2:$E$1001,$A$2:$A$1001,A633,$E$2:$E$1001,"&lt;"&amp;E633))))</f>
        <v/>
      </c>
      <c r="R633" s="9">
        <f>IF(OR(Q633="",G633=""),"",G633-Q633)</f>
        <v/>
      </c>
      <c r="S633" s="9">
        <f>IF(R633="","",SUMIFS($R$2:$R$1001,$A$2:$A$1001,A633,$E$2:$E$1001,"&lt;="&amp;E633))</f>
        <v/>
      </c>
      <c r="T633" s="5">
        <f>IF(A633="","",IF(R633="","initial",IF(ABS(R633)&lt;=ShiftThresholdDays,"unchanged",IF(R633&gt;0,"delayed","accelerated"))))</f>
        <v/>
      </c>
    </row>
    <row r="634">
      <c r="A634" s="2" t="n"/>
      <c r="B634" s="2" t="n"/>
      <c r="C634" s="2" t="n"/>
      <c r="D634" s="2" t="n"/>
      <c r="E634" s="2" t="n"/>
      <c r="F634" s="2" t="n"/>
      <c r="G634" s="3" t="n"/>
      <c r="H634" s="2" t="n"/>
      <c r="I634" s="3" t="n"/>
      <c r="J634" s="2" t="n"/>
      <c r="K634" s="2" t="n"/>
      <c r="L634" s="2" t="n"/>
      <c r="M634" s="2" t="n"/>
      <c r="N634" s="2" t="n"/>
      <c r="O634" s="2" t="n"/>
      <c r="P634" s="2" t="n"/>
      <c r="Q634" s="4">
        <f>IF(OR(A634="",E634=""),"",IF(MAXIFS($E$2:$E$1001,$A$2:$A$1001,A634,$E$2:$E$1001,"&lt;"&amp;E634)=0,"",SUMIFS($G$2:$G$1001,$A$2:$A$1001,A634,$E$2:$E$1001,MAXIFS($E$2:$E$1001,$A$2:$A$1001,A634,$E$2:$E$1001,"&lt;"&amp;E634))))</f>
        <v/>
      </c>
      <c r="R634" s="9">
        <f>IF(OR(Q634="",G634=""),"",G634-Q634)</f>
        <v/>
      </c>
      <c r="S634" s="9">
        <f>IF(R634="","",SUMIFS($R$2:$R$1001,$A$2:$A$1001,A634,$E$2:$E$1001,"&lt;="&amp;E634))</f>
        <v/>
      </c>
      <c r="T634" s="5">
        <f>IF(A634="","",IF(R634="","initial",IF(ABS(R634)&lt;=ShiftThresholdDays,"unchanged",IF(R634&gt;0,"delayed","accelerated"))))</f>
        <v/>
      </c>
    </row>
    <row r="635">
      <c r="A635" s="2" t="n"/>
      <c r="B635" s="2" t="n"/>
      <c r="C635" s="2" t="n"/>
      <c r="D635" s="2" t="n"/>
      <c r="E635" s="2" t="n"/>
      <c r="F635" s="2" t="n"/>
      <c r="G635" s="3" t="n"/>
      <c r="H635" s="2" t="n"/>
      <c r="I635" s="3" t="n"/>
      <c r="J635" s="2" t="n"/>
      <c r="K635" s="2" t="n"/>
      <c r="L635" s="2" t="n"/>
      <c r="M635" s="2" t="n"/>
      <c r="N635" s="2" t="n"/>
      <c r="O635" s="2" t="n"/>
      <c r="P635" s="2" t="n"/>
      <c r="Q635" s="4">
        <f>IF(OR(A635="",E635=""),"",IF(MAXIFS($E$2:$E$1001,$A$2:$A$1001,A635,$E$2:$E$1001,"&lt;"&amp;E635)=0,"",SUMIFS($G$2:$G$1001,$A$2:$A$1001,A635,$E$2:$E$1001,MAXIFS($E$2:$E$1001,$A$2:$A$1001,A635,$E$2:$E$1001,"&lt;"&amp;E635))))</f>
        <v/>
      </c>
      <c r="R635" s="9">
        <f>IF(OR(Q635="",G635=""),"",G635-Q635)</f>
        <v/>
      </c>
      <c r="S635" s="9">
        <f>IF(R635="","",SUMIFS($R$2:$R$1001,$A$2:$A$1001,A635,$E$2:$E$1001,"&lt;="&amp;E635))</f>
        <v/>
      </c>
      <c r="T635" s="5">
        <f>IF(A635="","",IF(R635="","initial",IF(ABS(R635)&lt;=ShiftThresholdDays,"unchanged",IF(R635&gt;0,"delayed","accelerated"))))</f>
        <v/>
      </c>
    </row>
    <row r="636">
      <c r="A636" s="2" t="n"/>
      <c r="B636" s="2" t="n"/>
      <c r="C636" s="2" t="n"/>
      <c r="D636" s="2" t="n"/>
      <c r="E636" s="2" t="n"/>
      <c r="F636" s="2" t="n"/>
      <c r="G636" s="3" t="n"/>
      <c r="H636" s="2" t="n"/>
      <c r="I636" s="3" t="n"/>
      <c r="J636" s="2" t="n"/>
      <c r="K636" s="2" t="n"/>
      <c r="L636" s="2" t="n"/>
      <c r="M636" s="2" t="n"/>
      <c r="N636" s="2" t="n"/>
      <c r="O636" s="2" t="n"/>
      <c r="P636" s="2" t="n"/>
      <c r="Q636" s="4">
        <f>IF(OR(A636="",E636=""),"",IF(MAXIFS($E$2:$E$1001,$A$2:$A$1001,A636,$E$2:$E$1001,"&lt;"&amp;E636)=0,"",SUMIFS($G$2:$G$1001,$A$2:$A$1001,A636,$E$2:$E$1001,MAXIFS($E$2:$E$1001,$A$2:$A$1001,A636,$E$2:$E$1001,"&lt;"&amp;E636))))</f>
        <v/>
      </c>
      <c r="R636" s="9">
        <f>IF(OR(Q636="",G636=""),"",G636-Q636)</f>
        <v/>
      </c>
      <c r="S636" s="9">
        <f>IF(R636="","",SUMIFS($R$2:$R$1001,$A$2:$A$1001,A636,$E$2:$E$1001,"&lt;="&amp;E636))</f>
        <v/>
      </c>
      <c r="T636" s="5">
        <f>IF(A636="","",IF(R636="","initial",IF(ABS(R636)&lt;=ShiftThresholdDays,"unchanged",IF(R636&gt;0,"delayed","accelerated"))))</f>
        <v/>
      </c>
    </row>
    <row r="637">
      <c r="A637" s="2" t="n"/>
      <c r="B637" s="2" t="n"/>
      <c r="C637" s="2" t="n"/>
      <c r="D637" s="2" t="n"/>
      <c r="E637" s="2" t="n"/>
      <c r="F637" s="2" t="n"/>
      <c r="G637" s="3" t="n"/>
      <c r="H637" s="2" t="n"/>
      <c r="I637" s="3" t="n"/>
      <c r="J637" s="2" t="n"/>
      <c r="K637" s="2" t="n"/>
      <c r="L637" s="2" t="n"/>
      <c r="M637" s="2" t="n"/>
      <c r="N637" s="2" t="n"/>
      <c r="O637" s="2" t="n"/>
      <c r="P637" s="2" t="n"/>
      <c r="Q637" s="4">
        <f>IF(OR(A637="",E637=""),"",IF(MAXIFS($E$2:$E$1001,$A$2:$A$1001,A637,$E$2:$E$1001,"&lt;"&amp;E637)=0,"",SUMIFS($G$2:$G$1001,$A$2:$A$1001,A637,$E$2:$E$1001,MAXIFS($E$2:$E$1001,$A$2:$A$1001,A637,$E$2:$E$1001,"&lt;"&amp;E637))))</f>
        <v/>
      </c>
      <c r="R637" s="9">
        <f>IF(OR(Q637="",G637=""),"",G637-Q637)</f>
        <v/>
      </c>
      <c r="S637" s="9">
        <f>IF(R637="","",SUMIFS($R$2:$R$1001,$A$2:$A$1001,A637,$E$2:$E$1001,"&lt;="&amp;E637))</f>
        <v/>
      </c>
      <c r="T637" s="5">
        <f>IF(A637="","",IF(R637="","initial",IF(ABS(R637)&lt;=ShiftThresholdDays,"unchanged",IF(R637&gt;0,"delayed","accelerated"))))</f>
        <v/>
      </c>
    </row>
    <row r="638">
      <c r="A638" s="2" t="n"/>
      <c r="B638" s="2" t="n"/>
      <c r="C638" s="2" t="n"/>
      <c r="D638" s="2" t="n"/>
      <c r="E638" s="2" t="n"/>
      <c r="F638" s="2" t="n"/>
      <c r="G638" s="3" t="n"/>
      <c r="H638" s="2" t="n"/>
      <c r="I638" s="3" t="n"/>
      <c r="J638" s="2" t="n"/>
      <c r="K638" s="2" t="n"/>
      <c r="L638" s="2" t="n"/>
      <c r="M638" s="2" t="n"/>
      <c r="N638" s="2" t="n"/>
      <c r="O638" s="2" t="n"/>
      <c r="P638" s="2" t="n"/>
      <c r="Q638" s="4">
        <f>IF(OR(A638="",E638=""),"",IF(MAXIFS($E$2:$E$1001,$A$2:$A$1001,A638,$E$2:$E$1001,"&lt;"&amp;E638)=0,"",SUMIFS($G$2:$G$1001,$A$2:$A$1001,A638,$E$2:$E$1001,MAXIFS($E$2:$E$1001,$A$2:$A$1001,A638,$E$2:$E$1001,"&lt;"&amp;E638))))</f>
        <v/>
      </c>
      <c r="R638" s="9">
        <f>IF(OR(Q638="",G638=""),"",G638-Q638)</f>
        <v/>
      </c>
      <c r="S638" s="9">
        <f>IF(R638="","",SUMIFS($R$2:$R$1001,$A$2:$A$1001,A638,$E$2:$E$1001,"&lt;="&amp;E638))</f>
        <v/>
      </c>
      <c r="T638" s="5">
        <f>IF(A638="","",IF(R638="","initial",IF(ABS(R638)&lt;=ShiftThresholdDays,"unchanged",IF(R638&gt;0,"delayed","accelerated"))))</f>
        <v/>
      </c>
    </row>
    <row r="639">
      <c r="A639" s="2" t="n"/>
      <c r="B639" s="2" t="n"/>
      <c r="C639" s="2" t="n"/>
      <c r="D639" s="2" t="n"/>
      <c r="E639" s="2" t="n"/>
      <c r="F639" s="2" t="n"/>
      <c r="G639" s="3" t="n"/>
      <c r="H639" s="2" t="n"/>
      <c r="I639" s="3" t="n"/>
      <c r="J639" s="2" t="n"/>
      <c r="K639" s="2" t="n"/>
      <c r="L639" s="2" t="n"/>
      <c r="M639" s="2" t="n"/>
      <c r="N639" s="2" t="n"/>
      <c r="O639" s="2" t="n"/>
      <c r="P639" s="2" t="n"/>
      <c r="Q639" s="4">
        <f>IF(OR(A639="",E639=""),"",IF(MAXIFS($E$2:$E$1001,$A$2:$A$1001,A639,$E$2:$E$1001,"&lt;"&amp;E639)=0,"",SUMIFS($G$2:$G$1001,$A$2:$A$1001,A639,$E$2:$E$1001,MAXIFS($E$2:$E$1001,$A$2:$A$1001,A639,$E$2:$E$1001,"&lt;"&amp;E639))))</f>
        <v/>
      </c>
      <c r="R639" s="9">
        <f>IF(OR(Q639="",G639=""),"",G639-Q639)</f>
        <v/>
      </c>
      <c r="S639" s="9">
        <f>IF(R639="","",SUMIFS($R$2:$R$1001,$A$2:$A$1001,A639,$E$2:$E$1001,"&lt;="&amp;E639))</f>
        <v/>
      </c>
      <c r="T639" s="5">
        <f>IF(A639="","",IF(R639="","initial",IF(ABS(R639)&lt;=ShiftThresholdDays,"unchanged",IF(R639&gt;0,"delayed","accelerated"))))</f>
        <v/>
      </c>
    </row>
    <row r="640">
      <c r="A640" s="2" t="n"/>
      <c r="B640" s="2" t="n"/>
      <c r="C640" s="2" t="n"/>
      <c r="D640" s="2" t="n"/>
      <c r="E640" s="2" t="n"/>
      <c r="F640" s="2" t="n"/>
      <c r="G640" s="3" t="n"/>
      <c r="H640" s="2" t="n"/>
      <c r="I640" s="3" t="n"/>
      <c r="J640" s="2" t="n"/>
      <c r="K640" s="2" t="n"/>
      <c r="L640" s="2" t="n"/>
      <c r="M640" s="2" t="n"/>
      <c r="N640" s="2" t="n"/>
      <c r="O640" s="2" t="n"/>
      <c r="P640" s="2" t="n"/>
      <c r="Q640" s="4">
        <f>IF(OR(A640="",E640=""),"",IF(MAXIFS($E$2:$E$1001,$A$2:$A$1001,A640,$E$2:$E$1001,"&lt;"&amp;E640)=0,"",SUMIFS($G$2:$G$1001,$A$2:$A$1001,A640,$E$2:$E$1001,MAXIFS($E$2:$E$1001,$A$2:$A$1001,A640,$E$2:$E$1001,"&lt;"&amp;E640))))</f>
        <v/>
      </c>
      <c r="R640" s="9">
        <f>IF(OR(Q640="",G640=""),"",G640-Q640)</f>
        <v/>
      </c>
      <c r="S640" s="9">
        <f>IF(R640="","",SUMIFS($R$2:$R$1001,$A$2:$A$1001,A640,$E$2:$E$1001,"&lt;="&amp;E640))</f>
        <v/>
      </c>
      <c r="T640" s="5">
        <f>IF(A640="","",IF(R640="","initial",IF(ABS(R640)&lt;=ShiftThresholdDays,"unchanged",IF(R640&gt;0,"delayed","accelerated"))))</f>
        <v/>
      </c>
    </row>
    <row r="641">
      <c r="A641" s="2" t="n"/>
      <c r="B641" s="2" t="n"/>
      <c r="C641" s="2" t="n"/>
      <c r="D641" s="2" t="n"/>
      <c r="E641" s="2" t="n"/>
      <c r="F641" s="2" t="n"/>
      <c r="G641" s="3" t="n"/>
      <c r="H641" s="2" t="n"/>
      <c r="I641" s="3" t="n"/>
      <c r="J641" s="2" t="n"/>
      <c r="K641" s="2" t="n"/>
      <c r="L641" s="2" t="n"/>
      <c r="M641" s="2" t="n"/>
      <c r="N641" s="2" t="n"/>
      <c r="O641" s="2" t="n"/>
      <c r="P641" s="2" t="n"/>
      <c r="Q641" s="4">
        <f>IF(OR(A641="",E641=""),"",IF(MAXIFS($E$2:$E$1001,$A$2:$A$1001,A641,$E$2:$E$1001,"&lt;"&amp;E641)=0,"",SUMIFS($G$2:$G$1001,$A$2:$A$1001,A641,$E$2:$E$1001,MAXIFS($E$2:$E$1001,$A$2:$A$1001,A641,$E$2:$E$1001,"&lt;"&amp;E641))))</f>
        <v/>
      </c>
      <c r="R641" s="9">
        <f>IF(OR(Q641="",G641=""),"",G641-Q641)</f>
        <v/>
      </c>
      <c r="S641" s="9">
        <f>IF(R641="","",SUMIFS($R$2:$R$1001,$A$2:$A$1001,A641,$E$2:$E$1001,"&lt;="&amp;E641))</f>
        <v/>
      </c>
      <c r="T641" s="5">
        <f>IF(A641="","",IF(R641="","initial",IF(ABS(R641)&lt;=ShiftThresholdDays,"unchanged",IF(R641&gt;0,"delayed","accelerated"))))</f>
        <v/>
      </c>
    </row>
    <row r="642">
      <c r="A642" s="2" t="n"/>
      <c r="B642" s="2" t="n"/>
      <c r="C642" s="2" t="n"/>
      <c r="D642" s="2" t="n"/>
      <c r="E642" s="2" t="n"/>
      <c r="F642" s="2" t="n"/>
      <c r="G642" s="3" t="n"/>
      <c r="H642" s="2" t="n"/>
      <c r="I642" s="3" t="n"/>
      <c r="J642" s="2" t="n"/>
      <c r="K642" s="2" t="n"/>
      <c r="L642" s="2" t="n"/>
      <c r="M642" s="2" t="n"/>
      <c r="N642" s="2" t="n"/>
      <c r="O642" s="2" t="n"/>
      <c r="P642" s="2" t="n"/>
      <c r="Q642" s="4">
        <f>IF(OR(A642="",E642=""),"",IF(MAXIFS($E$2:$E$1001,$A$2:$A$1001,A642,$E$2:$E$1001,"&lt;"&amp;E642)=0,"",SUMIFS($G$2:$G$1001,$A$2:$A$1001,A642,$E$2:$E$1001,MAXIFS($E$2:$E$1001,$A$2:$A$1001,A642,$E$2:$E$1001,"&lt;"&amp;E642))))</f>
        <v/>
      </c>
      <c r="R642" s="9">
        <f>IF(OR(Q642="",G642=""),"",G642-Q642)</f>
        <v/>
      </c>
      <c r="S642" s="9">
        <f>IF(R642="","",SUMIFS($R$2:$R$1001,$A$2:$A$1001,A642,$E$2:$E$1001,"&lt;="&amp;E642))</f>
        <v/>
      </c>
      <c r="T642" s="5">
        <f>IF(A642="","",IF(R642="","initial",IF(ABS(R642)&lt;=ShiftThresholdDays,"unchanged",IF(R642&gt;0,"delayed","accelerated"))))</f>
        <v/>
      </c>
    </row>
    <row r="643">
      <c r="A643" s="2" t="n"/>
      <c r="B643" s="2" t="n"/>
      <c r="C643" s="2" t="n"/>
      <c r="D643" s="2" t="n"/>
      <c r="E643" s="2" t="n"/>
      <c r="F643" s="2" t="n"/>
      <c r="G643" s="3" t="n"/>
      <c r="H643" s="2" t="n"/>
      <c r="I643" s="3" t="n"/>
      <c r="J643" s="2" t="n"/>
      <c r="K643" s="2" t="n"/>
      <c r="L643" s="2" t="n"/>
      <c r="M643" s="2" t="n"/>
      <c r="N643" s="2" t="n"/>
      <c r="O643" s="2" t="n"/>
      <c r="P643" s="2" t="n"/>
      <c r="Q643" s="4">
        <f>IF(OR(A643="",E643=""),"",IF(MAXIFS($E$2:$E$1001,$A$2:$A$1001,A643,$E$2:$E$1001,"&lt;"&amp;E643)=0,"",SUMIFS($G$2:$G$1001,$A$2:$A$1001,A643,$E$2:$E$1001,MAXIFS($E$2:$E$1001,$A$2:$A$1001,A643,$E$2:$E$1001,"&lt;"&amp;E643))))</f>
        <v/>
      </c>
      <c r="R643" s="9">
        <f>IF(OR(Q643="",G643=""),"",G643-Q643)</f>
        <v/>
      </c>
      <c r="S643" s="9">
        <f>IF(R643="","",SUMIFS($R$2:$R$1001,$A$2:$A$1001,A643,$E$2:$E$1001,"&lt;="&amp;E643))</f>
        <v/>
      </c>
      <c r="T643" s="5">
        <f>IF(A643="","",IF(R643="","initial",IF(ABS(R643)&lt;=ShiftThresholdDays,"unchanged",IF(R643&gt;0,"delayed","accelerated"))))</f>
        <v/>
      </c>
    </row>
    <row r="644">
      <c r="A644" s="2" t="n"/>
      <c r="B644" s="2" t="n"/>
      <c r="C644" s="2" t="n"/>
      <c r="D644" s="2" t="n"/>
      <c r="E644" s="2" t="n"/>
      <c r="F644" s="2" t="n"/>
      <c r="G644" s="3" t="n"/>
      <c r="H644" s="2" t="n"/>
      <c r="I644" s="3" t="n"/>
      <c r="J644" s="2" t="n"/>
      <c r="K644" s="2" t="n"/>
      <c r="L644" s="2" t="n"/>
      <c r="M644" s="2" t="n"/>
      <c r="N644" s="2" t="n"/>
      <c r="O644" s="2" t="n"/>
      <c r="P644" s="2" t="n"/>
      <c r="Q644" s="4">
        <f>IF(OR(A644="",E644=""),"",IF(MAXIFS($E$2:$E$1001,$A$2:$A$1001,A644,$E$2:$E$1001,"&lt;"&amp;E644)=0,"",SUMIFS($G$2:$G$1001,$A$2:$A$1001,A644,$E$2:$E$1001,MAXIFS($E$2:$E$1001,$A$2:$A$1001,A644,$E$2:$E$1001,"&lt;"&amp;E644))))</f>
        <v/>
      </c>
      <c r="R644" s="9">
        <f>IF(OR(Q644="",G644=""),"",G644-Q644)</f>
        <v/>
      </c>
      <c r="S644" s="9">
        <f>IF(R644="","",SUMIFS($R$2:$R$1001,$A$2:$A$1001,A644,$E$2:$E$1001,"&lt;="&amp;E644))</f>
        <v/>
      </c>
      <c r="T644" s="5">
        <f>IF(A644="","",IF(R644="","initial",IF(ABS(R644)&lt;=ShiftThresholdDays,"unchanged",IF(R644&gt;0,"delayed","accelerated"))))</f>
        <v/>
      </c>
    </row>
    <row r="645">
      <c r="A645" s="2" t="n"/>
      <c r="B645" s="2" t="n"/>
      <c r="C645" s="2" t="n"/>
      <c r="D645" s="2" t="n"/>
      <c r="E645" s="2" t="n"/>
      <c r="F645" s="2" t="n"/>
      <c r="G645" s="3" t="n"/>
      <c r="H645" s="2" t="n"/>
      <c r="I645" s="3" t="n"/>
      <c r="J645" s="2" t="n"/>
      <c r="K645" s="2" t="n"/>
      <c r="L645" s="2" t="n"/>
      <c r="M645" s="2" t="n"/>
      <c r="N645" s="2" t="n"/>
      <c r="O645" s="2" t="n"/>
      <c r="P645" s="2" t="n"/>
      <c r="Q645" s="4">
        <f>IF(OR(A645="",E645=""),"",IF(MAXIFS($E$2:$E$1001,$A$2:$A$1001,A645,$E$2:$E$1001,"&lt;"&amp;E645)=0,"",SUMIFS($G$2:$G$1001,$A$2:$A$1001,A645,$E$2:$E$1001,MAXIFS($E$2:$E$1001,$A$2:$A$1001,A645,$E$2:$E$1001,"&lt;"&amp;E645))))</f>
        <v/>
      </c>
      <c r="R645" s="9">
        <f>IF(OR(Q645="",G645=""),"",G645-Q645)</f>
        <v/>
      </c>
      <c r="S645" s="9">
        <f>IF(R645="","",SUMIFS($R$2:$R$1001,$A$2:$A$1001,A645,$E$2:$E$1001,"&lt;="&amp;E645))</f>
        <v/>
      </c>
      <c r="T645" s="5">
        <f>IF(A645="","",IF(R645="","initial",IF(ABS(R645)&lt;=ShiftThresholdDays,"unchanged",IF(R645&gt;0,"delayed","accelerated"))))</f>
        <v/>
      </c>
    </row>
    <row r="646">
      <c r="A646" s="2" t="n"/>
      <c r="B646" s="2" t="n"/>
      <c r="C646" s="2" t="n"/>
      <c r="D646" s="2" t="n"/>
      <c r="E646" s="2" t="n"/>
      <c r="F646" s="2" t="n"/>
      <c r="G646" s="3" t="n"/>
      <c r="H646" s="2" t="n"/>
      <c r="I646" s="3" t="n"/>
      <c r="J646" s="2" t="n"/>
      <c r="K646" s="2" t="n"/>
      <c r="L646" s="2" t="n"/>
      <c r="M646" s="2" t="n"/>
      <c r="N646" s="2" t="n"/>
      <c r="O646" s="2" t="n"/>
      <c r="P646" s="2" t="n"/>
      <c r="Q646" s="4">
        <f>IF(OR(A646="",E646=""),"",IF(MAXIFS($E$2:$E$1001,$A$2:$A$1001,A646,$E$2:$E$1001,"&lt;"&amp;E646)=0,"",SUMIFS($G$2:$G$1001,$A$2:$A$1001,A646,$E$2:$E$1001,MAXIFS($E$2:$E$1001,$A$2:$A$1001,A646,$E$2:$E$1001,"&lt;"&amp;E646))))</f>
        <v/>
      </c>
      <c r="R646" s="9">
        <f>IF(OR(Q646="",G646=""),"",G646-Q646)</f>
        <v/>
      </c>
      <c r="S646" s="9">
        <f>IF(R646="","",SUMIFS($R$2:$R$1001,$A$2:$A$1001,A646,$E$2:$E$1001,"&lt;="&amp;E646))</f>
        <v/>
      </c>
      <c r="T646" s="5">
        <f>IF(A646="","",IF(R646="","initial",IF(ABS(R646)&lt;=ShiftThresholdDays,"unchanged",IF(R646&gt;0,"delayed","accelerated"))))</f>
        <v/>
      </c>
    </row>
    <row r="647">
      <c r="A647" s="2" t="n"/>
      <c r="B647" s="2" t="n"/>
      <c r="C647" s="2" t="n"/>
      <c r="D647" s="2" t="n"/>
      <c r="E647" s="2" t="n"/>
      <c r="F647" s="2" t="n"/>
      <c r="G647" s="3" t="n"/>
      <c r="H647" s="2" t="n"/>
      <c r="I647" s="3" t="n"/>
      <c r="J647" s="2" t="n"/>
      <c r="K647" s="2" t="n"/>
      <c r="L647" s="2" t="n"/>
      <c r="M647" s="2" t="n"/>
      <c r="N647" s="2" t="n"/>
      <c r="O647" s="2" t="n"/>
      <c r="P647" s="2" t="n"/>
      <c r="Q647" s="4">
        <f>IF(OR(A647="",E647=""),"",IF(MAXIFS($E$2:$E$1001,$A$2:$A$1001,A647,$E$2:$E$1001,"&lt;"&amp;E647)=0,"",SUMIFS($G$2:$G$1001,$A$2:$A$1001,A647,$E$2:$E$1001,MAXIFS($E$2:$E$1001,$A$2:$A$1001,A647,$E$2:$E$1001,"&lt;"&amp;E647))))</f>
        <v/>
      </c>
      <c r="R647" s="9">
        <f>IF(OR(Q647="",G647=""),"",G647-Q647)</f>
        <v/>
      </c>
      <c r="S647" s="9">
        <f>IF(R647="","",SUMIFS($R$2:$R$1001,$A$2:$A$1001,A647,$E$2:$E$1001,"&lt;="&amp;E647))</f>
        <v/>
      </c>
      <c r="T647" s="5">
        <f>IF(A647="","",IF(R647="","initial",IF(ABS(R647)&lt;=ShiftThresholdDays,"unchanged",IF(R647&gt;0,"delayed","accelerated"))))</f>
        <v/>
      </c>
    </row>
    <row r="648">
      <c r="A648" s="2" t="n"/>
      <c r="B648" s="2" t="n"/>
      <c r="C648" s="2" t="n"/>
      <c r="D648" s="2" t="n"/>
      <c r="E648" s="2" t="n"/>
      <c r="F648" s="2" t="n"/>
      <c r="G648" s="3" t="n"/>
      <c r="H648" s="2" t="n"/>
      <c r="I648" s="3" t="n"/>
      <c r="J648" s="2" t="n"/>
      <c r="K648" s="2" t="n"/>
      <c r="L648" s="2" t="n"/>
      <c r="M648" s="2" t="n"/>
      <c r="N648" s="2" t="n"/>
      <c r="O648" s="2" t="n"/>
      <c r="P648" s="2" t="n"/>
      <c r="Q648" s="4">
        <f>IF(OR(A648="",E648=""),"",IF(MAXIFS($E$2:$E$1001,$A$2:$A$1001,A648,$E$2:$E$1001,"&lt;"&amp;E648)=0,"",SUMIFS($G$2:$G$1001,$A$2:$A$1001,A648,$E$2:$E$1001,MAXIFS($E$2:$E$1001,$A$2:$A$1001,A648,$E$2:$E$1001,"&lt;"&amp;E648))))</f>
        <v/>
      </c>
      <c r="R648" s="9">
        <f>IF(OR(Q648="",G648=""),"",G648-Q648)</f>
        <v/>
      </c>
      <c r="S648" s="9">
        <f>IF(R648="","",SUMIFS($R$2:$R$1001,$A$2:$A$1001,A648,$E$2:$E$1001,"&lt;="&amp;E648))</f>
        <v/>
      </c>
      <c r="T648" s="5">
        <f>IF(A648="","",IF(R648="","initial",IF(ABS(R648)&lt;=ShiftThresholdDays,"unchanged",IF(R648&gt;0,"delayed","accelerated"))))</f>
        <v/>
      </c>
    </row>
    <row r="649">
      <c r="A649" s="2" t="n"/>
      <c r="B649" s="2" t="n"/>
      <c r="C649" s="2" t="n"/>
      <c r="D649" s="2" t="n"/>
      <c r="E649" s="2" t="n"/>
      <c r="F649" s="2" t="n"/>
      <c r="G649" s="3" t="n"/>
      <c r="H649" s="2" t="n"/>
      <c r="I649" s="3" t="n"/>
      <c r="J649" s="2" t="n"/>
      <c r="K649" s="2" t="n"/>
      <c r="L649" s="2" t="n"/>
      <c r="M649" s="2" t="n"/>
      <c r="N649" s="2" t="n"/>
      <c r="O649" s="2" t="n"/>
      <c r="P649" s="2" t="n"/>
      <c r="Q649" s="4">
        <f>IF(OR(A649="",E649=""),"",IF(MAXIFS($E$2:$E$1001,$A$2:$A$1001,A649,$E$2:$E$1001,"&lt;"&amp;E649)=0,"",SUMIFS($G$2:$G$1001,$A$2:$A$1001,A649,$E$2:$E$1001,MAXIFS($E$2:$E$1001,$A$2:$A$1001,A649,$E$2:$E$1001,"&lt;"&amp;E649))))</f>
        <v/>
      </c>
      <c r="R649" s="9">
        <f>IF(OR(Q649="",G649=""),"",G649-Q649)</f>
        <v/>
      </c>
      <c r="S649" s="9">
        <f>IF(R649="","",SUMIFS($R$2:$R$1001,$A$2:$A$1001,A649,$E$2:$E$1001,"&lt;="&amp;E649))</f>
        <v/>
      </c>
      <c r="T649" s="5">
        <f>IF(A649="","",IF(R649="","initial",IF(ABS(R649)&lt;=ShiftThresholdDays,"unchanged",IF(R649&gt;0,"delayed","accelerated"))))</f>
        <v/>
      </c>
    </row>
    <row r="650">
      <c r="A650" s="2" t="n"/>
      <c r="B650" s="2" t="n"/>
      <c r="C650" s="2" t="n"/>
      <c r="D650" s="2" t="n"/>
      <c r="E650" s="2" t="n"/>
      <c r="F650" s="2" t="n"/>
      <c r="G650" s="3" t="n"/>
      <c r="H650" s="2" t="n"/>
      <c r="I650" s="3" t="n"/>
      <c r="J650" s="2" t="n"/>
      <c r="K650" s="2" t="n"/>
      <c r="L650" s="2" t="n"/>
      <c r="M650" s="2" t="n"/>
      <c r="N650" s="2" t="n"/>
      <c r="O650" s="2" t="n"/>
      <c r="P650" s="2" t="n"/>
      <c r="Q650" s="4">
        <f>IF(OR(A650="",E650=""),"",IF(MAXIFS($E$2:$E$1001,$A$2:$A$1001,A650,$E$2:$E$1001,"&lt;"&amp;E650)=0,"",SUMIFS($G$2:$G$1001,$A$2:$A$1001,A650,$E$2:$E$1001,MAXIFS($E$2:$E$1001,$A$2:$A$1001,A650,$E$2:$E$1001,"&lt;"&amp;E650))))</f>
        <v/>
      </c>
      <c r="R650" s="9">
        <f>IF(OR(Q650="",G650=""),"",G650-Q650)</f>
        <v/>
      </c>
      <c r="S650" s="9">
        <f>IF(R650="","",SUMIFS($R$2:$R$1001,$A$2:$A$1001,A650,$E$2:$E$1001,"&lt;="&amp;E650))</f>
        <v/>
      </c>
      <c r="T650" s="5">
        <f>IF(A650="","",IF(R650="","initial",IF(ABS(R650)&lt;=ShiftThresholdDays,"unchanged",IF(R650&gt;0,"delayed","accelerated"))))</f>
        <v/>
      </c>
    </row>
    <row r="651">
      <c r="A651" s="2" t="n"/>
      <c r="B651" s="2" t="n"/>
      <c r="C651" s="2" t="n"/>
      <c r="D651" s="2" t="n"/>
      <c r="E651" s="2" t="n"/>
      <c r="F651" s="2" t="n"/>
      <c r="G651" s="3" t="n"/>
      <c r="H651" s="2" t="n"/>
      <c r="I651" s="3" t="n"/>
      <c r="J651" s="2" t="n"/>
      <c r="K651" s="2" t="n"/>
      <c r="L651" s="2" t="n"/>
      <c r="M651" s="2" t="n"/>
      <c r="N651" s="2" t="n"/>
      <c r="O651" s="2" t="n"/>
      <c r="P651" s="2" t="n"/>
      <c r="Q651" s="4">
        <f>IF(OR(A651="",E651=""),"",IF(MAXIFS($E$2:$E$1001,$A$2:$A$1001,A651,$E$2:$E$1001,"&lt;"&amp;E651)=0,"",SUMIFS($G$2:$G$1001,$A$2:$A$1001,A651,$E$2:$E$1001,MAXIFS($E$2:$E$1001,$A$2:$A$1001,A651,$E$2:$E$1001,"&lt;"&amp;E651))))</f>
        <v/>
      </c>
      <c r="R651" s="9">
        <f>IF(OR(Q651="",G651=""),"",G651-Q651)</f>
        <v/>
      </c>
      <c r="S651" s="9">
        <f>IF(R651="","",SUMIFS($R$2:$R$1001,$A$2:$A$1001,A651,$E$2:$E$1001,"&lt;="&amp;E651))</f>
        <v/>
      </c>
      <c r="T651" s="5">
        <f>IF(A651="","",IF(R651="","initial",IF(ABS(R651)&lt;=ShiftThresholdDays,"unchanged",IF(R651&gt;0,"delayed","accelerated"))))</f>
        <v/>
      </c>
    </row>
    <row r="652">
      <c r="A652" s="2" t="n"/>
      <c r="B652" s="2" t="n"/>
      <c r="C652" s="2" t="n"/>
      <c r="D652" s="2" t="n"/>
      <c r="E652" s="2" t="n"/>
      <c r="F652" s="2" t="n"/>
      <c r="G652" s="3" t="n"/>
      <c r="H652" s="2" t="n"/>
      <c r="I652" s="3" t="n"/>
      <c r="J652" s="2" t="n"/>
      <c r="K652" s="2" t="n"/>
      <c r="L652" s="2" t="n"/>
      <c r="M652" s="2" t="n"/>
      <c r="N652" s="2" t="n"/>
      <c r="O652" s="2" t="n"/>
      <c r="P652" s="2" t="n"/>
      <c r="Q652" s="4">
        <f>IF(OR(A652="",E652=""),"",IF(MAXIFS($E$2:$E$1001,$A$2:$A$1001,A652,$E$2:$E$1001,"&lt;"&amp;E652)=0,"",SUMIFS($G$2:$G$1001,$A$2:$A$1001,A652,$E$2:$E$1001,MAXIFS($E$2:$E$1001,$A$2:$A$1001,A652,$E$2:$E$1001,"&lt;"&amp;E652))))</f>
        <v/>
      </c>
      <c r="R652" s="9">
        <f>IF(OR(Q652="",G652=""),"",G652-Q652)</f>
        <v/>
      </c>
      <c r="S652" s="9">
        <f>IF(R652="","",SUMIFS($R$2:$R$1001,$A$2:$A$1001,A652,$E$2:$E$1001,"&lt;="&amp;E652))</f>
        <v/>
      </c>
      <c r="T652" s="5">
        <f>IF(A652="","",IF(R652="","initial",IF(ABS(R652)&lt;=ShiftThresholdDays,"unchanged",IF(R652&gt;0,"delayed","accelerated"))))</f>
        <v/>
      </c>
    </row>
    <row r="653">
      <c r="A653" s="2" t="n"/>
      <c r="B653" s="2" t="n"/>
      <c r="C653" s="2" t="n"/>
      <c r="D653" s="2" t="n"/>
      <c r="E653" s="2" t="n"/>
      <c r="F653" s="2" t="n"/>
      <c r="G653" s="3" t="n"/>
      <c r="H653" s="2" t="n"/>
      <c r="I653" s="3" t="n"/>
      <c r="J653" s="2" t="n"/>
      <c r="K653" s="2" t="n"/>
      <c r="L653" s="2" t="n"/>
      <c r="M653" s="2" t="n"/>
      <c r="N653" s="2" t="n"/>
      <c r="O653" s="2" t="n"/>
      <c r="P653" s="2" t="n"/>
      <c r="Q653" s="4">
        <f>IF(OR(A653="",E653=""),"",IF(MAXIFS($E$2:$E$1001,$A$2:$A$1001,A653,$E$2:$E$1001,"&lt;"&amp;E653)=0,"",SUMIFS($G$2:$G$1001,$A$2:$A$1001,A653,$E$2:$E$1001,MAXIFS($E$2:$E$1001,$A$2:$A$1001,A653,$E$2:$E$1001,"&lt;"&amp;E653))))</f>
        <v/>
      </c>
      <c r="R653" s="9">
        <f>IF(OR(Q653="",G653=""),"",G653-Q653)</f>
        <v/>
      </c>
      <c r="S653" s="9">
        <f>IF(R653="","",SUMIFS($R$2:$R$1001,$A$2:$A$1001,A653,$E$2:$E$1001,"&lt;="&amp;E653))</f>
        <v/>
      </c>
      <c r="T653" s="5">
        <f>IF(A653="","",IF(R653="","initial",IF(ABS(R653)&lt;=ShiftThresholdDays,"unchanged",IF(R653&gt;0,"delayed","accelerated"))))</f>
        <v/>
      </c>
    </row>
    <row r="654">
      <c r="A654" s="2" t="n"/>
      <c r="B654" s="2" t="n"/>
      <c r="C654" s="2" t="n"/>
      <c r="D654" s="2" t="n"/>
      <c r="E654" s="2" t="n"/>
      <c r="F654" s="2" t="n"/>
      <c r="G654" s="3" t="n"/>
      <c r="H654" s="2" t="n"/>
      <c r="I654" s="3" t="n"/>
      <c r="J654" s="2" t="n"/>
      <c r="K654" s="2" t="n"/>
      <c r="L654" s="2" t="n"/>
      <c r="M654" s="2" t="n"/>
      <c r="N654" s="2" t="n"/>
      <c r="O654" s="2" t="n"/>
      <c r="P654" s="2" t="n"/>
      <c r="Q654" s="4">
        <f>IF(OR(A654="",E654=""),"",IF(MAXIFS($E$2:$E$1001,$A$2:$A$1001,A654,$E$2:$E$1001,"&lt;"&amp;E654)=0,"",SUMIFS($G$2:$G$1001,$A$2:$A$1001,A654,$E$2:$E$1001,MAXIFS($E$2:$E$1001,$A$2:$A$1001,A654,$E$2:$E$1001,"&lt;"&amp;E654))))</f>
        <v/>
      </c>
      <c r="R654" s="9">
        <f>IF(OR(Q654="",G654=""),"",G654-Q654)</f>
        <v/>
      </c>
      <c r="S654" s="9">
        <f>IF(R654="","",SUMIFS($R$2:$R$1001,$A$2:$A$1001,A654,$E$2:$E$1001,"&lt;="&amp;E654))</f>
        <v/>
      </c>
      <c r="T654" s="5">
        <f>IF(A654="","",IF(R654="","initial",IF(ABS(R654)&lt;=ShiftThresholdDays,"unchanged",IF(R654&gt;0,"delayed","accelerated"))))</f>
        <v/>
      </c>
    </row>
    <row r="655">
      <c r="A655" s="2" t="n"/>
      <c r="B655" s="2" t="n"/>
      <c r="C655" s="2" t="n"/>
      <c r="D655" s="2" t="n"/>
      <c r="E655" s="2" t="n"/>
      <c r="F655" s="2" t="n"/>
      <c r="G655" s="3" t="n"/>
      <c r="H655" s="2" t="n"/>
      <c r="I655" s="3" t="n"/>
      <c r="J655" s="2" t="n"/>
      <c r="K655" s="2" t="n"/>
      <c r="L655" s="2" t="n"/>
      <c r="M655" s="2" t="n"/>
      <c r="N655" s="2" t="n"/>
      <c r="O655" s="2" t="n"/>
      <c r="P655" s="2" t="n"/>
      <c r="Q655" s="4">
        <f>IF(OR(A655="",E655=""),"",IF(MAXIFS($E$2:$E$1001,$A$2:$A$1001,A655,$E$2:$E$1001,"&lt;"&amp;E655)=0,"",SUMIFS($G$2:$G$1001,$A$2:$A$1001,A655,$E$2:$E$1001,MAXIFS($E$2:$E$1001,$A$2:$A$1001,A655,$E$2:$E$1001,"&lt;"&amp;E655))))</f>
        <v/>
      </c>
      <c r="R655" s="9">
        <f>IF(OR(Q655="",G655=""),"",G655-Q655)</f>
        <v/>
      </c>
      <c r="S655" s="9">
        <f>IF(R655="","",SUMIFS($R$2:$R$1001,$A$2:$A$1001,A655,$E$2:$E$1001,"&lt;="&amp;E655))</f>
        <v/>
      </c>
      <c r="T655" s="5">
        <f>IF(A655="","",IF(R655="","initial",IF(ABS(R655)&lt;=ShiftThresholdDays,"unchanged",IF(R655&gt;0,"delayed","accelerated"))))</f>
        <v/>
      </c>
    </row>
    <row r="656">
      <c r="A656" s="2" t="n"/>
      <c r="B656" s="2" t="n"/>
      <c r="C656" s="2" t="n"/>
      <c r="D656" s="2" t="n"/>
      <c r="E656" s="2" t="n"/>
      <c r="F656" s="2" t="n"/>
      <c r="G656" s="3" t="n"/>
      <c r="H656" s="2" t="n"/>
      <c r="I656" s="3" t="n"/>
      <c r="J656" s="2" t="n"/>
      <c r="K656" s="2" t="n"/>
      <c r="L656" s="2" t="n"/>
      <c r="M656" s="2" t="n"/>
      <c r="N656" s="2" t="n"/>
      <c r="O656" s="2" t="n"/>
      <c r="P656" s="2" t="n"/>
      <c r="Q656" s="4">
        <f>IF(OR(A656="",E656=""),"",IF(MAXIFS($E$2:$E$1001,$A$2:$A$1001,A656,$E$2:$E$1001,"&lt;"&amp;E656)=0,"",SUMIFS($G$2:$G$1001,$A$2:$A$1001,A656,$E$2:$E$1001,MAXIFS($E$2:$E$1001,$A$2:$A$1001,A656,$E$2:$E$1001,"&lt;"&amp;E656))))</f>
        <v/>
      </c>
      <c r="R656" s="9">
        <f>IF(OR(Q656="",G656=""),"",G656-Q656)</f>
        <v/>
      </c>
      <c r="S656" s="9">
        <f>IF(R656="","",SUMIFS($R$2:$R$1001,$A$2:$A$1001,A656,$E$2:$E$1001,"&lt;="&amp;E656))</f>
        <v/>
      </c>
      <c r="T656" s="5">
        <f>IF(A656="","",IF(R656="","initial",IF(ABS(R656)&lt;=ShiftThresholdDays,"unchanged",IF(R656&gt;0,"delayed","accelerated"))))</f>
        <v/>
      </c>
    </row>
    <row r="657">
      <c r="A657" s="2" t="n"/>
      <c r="B657" s="2" t="n"/>
      <c r="C657" s="2" t="n"/>
      <c r="D657" s="2" t="n"/>
      <c r="E657" s="2" t="n"/>
      <c r="F657" s="2" t="n"/>
      <c r="G657" s="3" t="n"/>
      <c r="H657" s="2" t="n"/>
      <c r="I657" s="3" t="n"/>
      <c r="J657" s="2" t="n"/>
      <c r="K657" s="2" t="n"/>
      <c r="L657" s="2" t="n"/>
      <c r="M657" s="2" t="n"/>
      <c r="N657" s="2" t="n"/>
      <c r="O657" s="2" t="n"/>
      <c r="P657" s="2" t="n"/>
      <c r="Q657" s="4">
        <f>IF(OR(A657="",E657=""),"",IF(MAXIFS($E$2:$E$1001,$A$2:$A$1001,A657,$E$2:$E$1001,"&lt;"&amp;E657)=0,"",SUMIFS($G$2:$G$1001,$A$2:$A$1001,A657,$E$2:$E$1001,MAXIFS($E$2:$E$1001,$A$2:$A$1001,A657,$E$2:$E$1001,"&lt;"&amp;E657))))</f>
        <v/>
      </c>
      <c r="R657" s="9">
        <f>IF(OR(Q657="",G657=""),"",G657-Q657)</f>
        <v/>
      </c>
      <c r="S657" s="9">
        <f>IF(R657="","",SUMIFS($R$2:$R$1001,$A$2:$A$1001,A657,$E$2:$E$1001,"&lt;="&amp;E657))</f>
        <v/>
      </c>
      <c r="T657" s="5">
        <f>IF(A657="","",IF(R657="","initial",IF(ABS(R657)&lt;=ShiftThresholdDays,"unchanged",IF(R657&gt;0,"delayed","accelerated"))))</f>
        <v/>
      </c>
    </row>
    <row r="658">
      <c r="A658" s="2" t="n"/>
      <c r="B658" s="2" t="n"/>
      <c r="C658" s="2" t="n"/>
      <c r="D658" s="2" t="n"/>
      <c r="E658" s="2" t="n"/>
      <c r="F658" s="2" t="n"/>
      <c r="G658" s="3" t="n"/>
      <c r="H658" s="2" t="n"/>
      <c r="I658" s="3" t="n"/>
      <c r="J658" s="2" t="n"/>
      <c r="K658" s="2" t="n"/>
      <c r="L658" s="2" t="n"/>
      <c r="M658" s="2" t="n"/>
      <c r="N658" s="2" t="n"/>
      <c r="O658" s="2" t="n"/>
      <c r="P658" s="2" t="n"/>
      <c r="Q658" s="4">
        <f>IF(OR(A658="",E658=""),"",IF(MAXIFS($E$2:$E$1001,$A$2:$A$1001,A658,$E$2:$E$1001,"&lt;"&amp;E658)=0,"",SUMIFS($G$2:$G$1001,$A$2:$A$1001,A658,$E$2:$E$1001,MAXIFS($E$2:$E$1001,$A$2:$A$1001,A658,$E$2:$E$1001,"&lt;"&amp;E658))))</f>
        <v/>
      </c>
      <c r="R658" s="9">
        <f>IF(OR(Q658="",G658=""),"",G658-Q658)</f>
        <v/>
      </c>
      <c r="S658" s="9">
        <f>IF(R658="","",SUMIFS($R$2:$R$1001,$A$2:$A$1001,A658,$E$2:$E$1001,"&lt;="&amp;E658))</f>
        <v/>
      </c>
      <c r="T658" s="5">
        <f>IF(A658="","",IF(R658="","initial",IF(ABS(R658)&lt;=ShiftThresholdDays,"unchanged",IF(R658&gt;0,"delayed","accelerated"))))</f>
        <v/>
      </c>
    </row>
    <row r="659">
      <c r="A659" s="2" t="n"/>
      <c r="B659" s="2" t="n"/>
      <c r="C659" s="2" t="n"/>
      <c r="D659" s="2" t="n"/>
      <c r="E659" s="2" t="n"/>
      <c r="F659" s="2" t="n"/>
      <c r="G659" s="3" t="n"/>
      <c r="H659" s="2" t="n"/>
      <c r="I659" s="3" t="n"/>
      <c r="J659" s="2" t="n"/>
      <c r="K659" s="2" t="n"/>
      <c r="L659" s="2" t="n"/>
      <c r="M659" s="2" t="n"/>
      <c r="N659" s="2" t="n"/>
      <c r="O659" s="2" t="n"/>
      <c r="P659" s="2" t="n"/>
      <c r="Q659" s="4">
        <f>IF(OR(A659="",E659=""),"",IF(MAXIFS($E$2:$E$1001,$A$2:$A$1001,A659,$E$2:$E$1001,"&lt;"&amp;E659)=0,"",SUMIFS($G$2:$G$1001,$A$2:$A$1001,A659,$E$2:$E$1001,MAXIFS($E$2:$E$1001,$A$2:$A$1001,A659,$E$2:$E$1001,"&lt;"&amp;E659))))</f>
        <v/>
      </c>
      <c r="R659" s="9">
        <f>IF(OR(Q659="",G659=""),"",G659-Q659)</f>
        <v/>
      </c>
      <c r="S659" s="9">
        <f>IF(R659="","",SUMIFS($R$2:$R$1001,$A$2:$A$1001,A659,$E$2:$E$1001,"&lt;="&amp;E659))</f>
        <v/>
      </c>
      <c r="T659" s="5">
        <f>IF(A659="","",IF(R659="","initial",IF(ABS(R659)&lt;=ShiftThresholdDays,"unchanged",IF(R659&gt;0,"delayed","accelerated"))))</f>
        <v/>
      </c>
    </row>
    <row r="660">
      <c r="A660" s="2" t="n"/>
      <c r="B660" s="2" t="n"/>
      <c r="C660" s="2" t="n"/>
      <c r="D660" s="2" t="n"/>
      <c r="E660" s="2" t="n"/>
      <c r="F660" s="2" t="n"/>
      <c r="G660" s="3" t="n"/>
      <c r="H660" s="2" t="n"/>
      <c r="I660" s="3" t="n"/>
      <c r="J660" s="2" t="n"/>
      <c r="K660" s="2" t="n"/>
      <c r="L660" s="2" t="n"/>
      <c r="M660" s="2" t="n"/>
      <c r="N660" s="2" t="n"/>
      <c r="O660" s="2" t="n"/>
      <c r="P660" s="2" t="n"/>
      <c r="Q660" s="4">
        <f>IF(OR(A660="",E660=""),"",IF(MAXIFS($E$2:$E$1001,$A$2:$A$1001,A660,$E$2:$E$1001,"&lt;"&amp;E660)=0,"",SUMIFS($G$2:$G$1001,$A$2:$A$1001,A660,$E$2:$E$1001,MAXIFS($E$2:$E$1001,$A$2:$A$1001,A660,$E$2:$E$1001,"&lt;"&amp;E660))))</f>
        <v/>
      </c>
      <c r="R660" s="9">
        <f>IF(OR(Q660="",G660=""),"",G660-Q660)</f>
        <v/>
      </c>
      <c r="S660" s="9">
        <f>IF(R660="","",SUMIFS($R$2:$R$1001,$A$2:$A$1001,A660,$E$2:$E$1001,"&lt;="&amp;E660))</f>
        <v/>
      </c>
      <c r="T660" s="5">
        <f>IF(A660="","",IF(R660="","initial",IF(ABS(R660)&lt;=ShiftThresholdDays,"unchanged",IF(R660&gt;0,"delayed","accelerated"))))</f>
        <v/>
      </c>
    </row>
    <row r="661">
      <c r="A661" s="2" t="n"/>
      <c r="B661" s="2" t="n"/>
      <c r="C661" s="2" t="n"/>
      <c r="D661" s="2" t="n"/>
      <c r="E661" s="2" t="n"/>
      <c r="F661" s="2" t="n"/>
      <c r="G661" s="3" t="n"/>
      <c r="H661" s="2" t="n"/>
      <c r="I661" s="3" t="n"/>
      <c r="J661" s="2" t="n"/>
      <c r="K661" s="2" t="n"/>
      <c r="L661" s="2" t="n"/>
      <c r="M661" s="2" t="n"/>
      <c r="N661" s="2" t="n"/>
      <c r="O661" s="2" t="n"/>
      <c r="P661" s="2" t="n"/>
      <c r="Q661" s="4">
        <f>IF(OR(A661="",E661=""),"",IF(MAXIFS($E$2:$E$1001,$A$2:$A$1001,A661,$E$2:$E$1001,"&lt;"&amp;E661)=0,"",SUMIFS($G$2:$G$1001,$A$2:$A$1001,A661,$E$2:$E$1001,MAXIFS($E$2:$E$1001,$A$2:$A$1001,A661,$E$2:$E$1001,"&lt;"&amp;E661))))</f>
        <v/>
      </c>
      <c r="R661" s="9">
        <f>IF(OR(Q661="",G661=""),"",G661-Q661)</f>
        <v/>
      </c>
      <c r="S661" s="9">
        <f>IF(R661="","",SUMIFS($R$2:$R$1001,$A$2:$A$1001,A661,$E$2:$E$1001,"&lt;="&amp;E661))</f>
        <v/>
      </c>
      <c r="T661" s="5">
        <f>IF(A661="","",IF(R661="","initial",IF(ABS(R661)&lt;=ShiftThresholdDays,"unchanged",IF(R661&gt;0,"delayed","accelerated"))))</f>
        <v/>
      </c>
    </row>
    <row r="662">
      <c r="A662" s="2" t="n"/>
      <c r="B662" s="2" t="n"/>
      <c r="C662" s="2" t="n"/>
      <c r="D662" s="2" t="n"/>
      <c r="E662" s="2" t="n"/>
      <c r="F662" s="2" t="n"/>
      <c r="G662" s="3" t="n"/>
      <c r="H662" s="2" t="n"/>
      <c r="I662" s="3" t="n"/>
      <c r="J662" s="2" t="n"/>
      <c r="K662" s="2" t="n"/>
      <c r="L662" s="2" t="n"/>
      <c r="M662" s="2" t="n"/>
      <c r="N662" s="2" t="n"/>
      <c r="O662" s="2" t="n"/>
      <c r="P662" s="2" t="n"/>
      <c r="Q662" s="4">
        <f>IF(OR(A662="",E662=""),"",IF(MAXIFS($E$2:$E$1001,$A$2:$A$1001,A662,$E$2:$E$1001,"&lt;"&amp;E662)=0,"",SUMIFS($G$2:$G$1001,$A$2:$A$1001,A662,$E$2:$E$1001,MAXIFS($E$2:$E$1001,$A$2:$A$1001,A662,$E$2:$E$1001,"&lt;"&amp;E662))))</f>
        <v/>
      </c>
      <c r="R662" s="9">
        <f>IF(OR(Q662="",G662=""),"",G662-Q662)</f>
        <v/>
      </c>
      <c r="S662" s="9">
        <f>IF(R662="","",SUMIFS($R$2:$R$1001,$A$2:$A$1001,A662,$E$2:$E$1001,"&lt;="&amp;E662))</f>
        <v/>
      </c>
      <c r="T662" s="5">
        <f>IF(A662="","",IF(R662="","initial",IF(ABS(R662)&lt;=ShiftThresholdDays,"unchanged",IF(R662&gt;0,"delayed","accelerated"))))</f>
        <v/>
      </c>
    </row>
    <row r="663">
      <c r="A663" s="2" t="n"/>
      <c r="B663" s="2" t="n"/>
      <c r="C663" s="2" t="n"/>
      <c r="D663" s="2" t="n"/>
      <c r="E663" s="2" t="n"/>
      <c r="F663" s="2" t="n"/>
      <c r="G663" s="3" t="n"/>
      <c r="H663" s="2" t="n"/>
      <c r="I663" s="3" t="n"/>
      <c r="J663" s="2" t="n"/>
      <c r="K663" s="2" t="n"/>
      <c r="L663" s="2" t="n"/>
      <c r="M663" s="2" t="n"/>
      <c r="N663" s="2" t="n"/>
      <c r="O663" s="2" t="n"/>
      <c r="P663" s="2" t="n"/>
      <c r="Q663" s="4">
        <f>IF(OR(A663="",E663=""),"",IF(MAXIFS($E$2:$E$1001,$A$2:$A$1001,A663,$E$2:$E$1001,"&lt;"&amp;E663)=0,"",SUMIFS($G$2:$G$1001,$A$2:$A$1001,A663,$E$2:$E$1001,MAXIFS($E$2:$E$1001,$A$2:$A$1001,A663,$E$2:$E$1001,"&lt;"&amp;E663))))</f>
        <v/>
      </c>
      <c r="R663" s="9">
        <f>IF(OR(Q663="",G663=""),"",G663-Q663)</f>
        <v/>
      </c>
      <c r="S663" s="9">
        <f>IF(R663="","",SUMIFS($R$2:$R$1001,$A$2:$A$1001,A663,$E$2:$E$1001,"&lt;="&amp;E663))</f>
        <v/>
      </c>
      <c r="T663" s="5">
        <f>IF(A663="","",IF(R663="","initial",IF(ABS(R663)&lt;=ShiftThresholdDays,"unchanged",IF(R663&gt;0,"delayed","accelerated"))))</f>
        <v/>
      </c>
    </row>
    <row r="664">
      <c r="A664" s="2" t="n"/>
      <c r="B664" s="2" t="n"/>
      <c r="C664" s="2" t="n"/>
      <c r="D664" s="2" t="n"/>
      <c r="E664" s="2" t="n"/>
      <c r="F664" s="2" t="n"/>
      <c r="G664" s="3" t="n"/>
      <c r="H664" s="2" t="n"/>
      <c r="I664" s="3" t="n"/>
      <c r="J664" s="2" t="n"/>
      <c r="K664" s="2" t="n"/>
      <c r="L664" s="2" t="n"/>
      <c r="M664" s="2" t="n"/>
      <c r="N664" s="2" t="n"/>
      <c r="O664" s="2" t="n"/>
      <c r="P664" s="2" t="n"/>
      <c r="Q664" s="4">
        <f>IF(OR(A664="",E664=""),"",IF(MAXIFS($E$2:$E$1001,$A$2:$A$1001,A664,$E$2:$E$1001,"&lt;"&amp;E664)=0,"",SUMIFS($G$2:$G$1001,$A$2:$A$1001,A664,$E$2:$E$1001,MAXIFS($E$2:$E$1001,$A$2:$A$1001,A664,$E$2:$E$1001,"&lt;"&amp;E664))))</f>
        <v/>
      </c>
      <c r="R664" s="9">
        <f>IF(OR(Q664="",G664=""),"",G664-Q664)</f>
        <v/>
      </c>
      <c r="S664" s="9">
        <f>IF(R664="","",SUMIFS($R$2:$R$1001,$A$2:$A$1001,A664,$E$2:$E$1001,"&lt;="&amp;E664))</f>
        <v/>
      </c>
      <c r="T664" s="5">
        <f>IF(A664="","",IF(R664="","initial",IF(ABS(R664)&lt;=ShiftThresholdDays,"unchanged",IF(R664&gt;0,"delayed","accelerated"))))</f>
        <v/>
      </c>
    </row>
    <row r="665">
      <c r="A665" s="2" t="n"/>
      <c r="B665" s="2" t="n"/>
      <c r="C665" s="2" t="n"/>
      <c r="D665" s="2" t="n"/>
      <c r="E665" s="2" t="n"/>
      <c r="F665" s="2" t="n"/>
      <c r="G665" s="3" t="n"/>
      <c r="H665" s="2" t="n"/>
      <c r="I665" s="3" t="n"/>
      <c r="J665" s="2" t="n"/>
      <c r="K665" s="2" t="n"/>
      <c r="L665" s="2" t="n"/>
      <c r="M665" s="2" t="n"/>
      <c r="N665" s="2" t="n"/>
      <c r="O665" s="2" t="n"/>
      <c r="P665" s="2" t="n"/>
      <c r="Q665" s="4">
        <f>IF(OR(A665="",E665=""),"",IF(MAXIFS($E$2:$E$1001,$A$2:$A$1001,A665,$E$2:$E$1001,"&lt;"&amp;E665)=0,"",SUMIFS($G$2:$G$1001,$A$2:$A$1001,A665,$E$2:$E$1001,MAXIFS($E$2:$E$1001,$A$2:$A$1001,A665,$E$2:$E$1001,"&lt;"&amp;E665))))</f>
        <v/>
      </c>
      <c r="R665" s="9">
        <f>IF(OR(Q665="",G665=""),"",G665-Q665)</f>
        <v/>
      </c>
      <c r="S665" s="9">
        <f>IF(R665="","",SUMIFS($R$2:$R$1001,$A$2:$A$1001,A665,$E$2:$E$1001,"&lt;="&amp;E665))</f>
        <v/>
      </c>
      <c r="T665" s="5">
        <f>IF(A665="","",IF(R665="","initial",IF(ABS(R665)&lt;=ShiftThresholdDays,"unchanged",IF(R665&gt;0,"delayed","accelerated"))))</f>
        <v/>
      </c>
    </row>
    <row r="666">
      <c r="A666" s="2" t="n"/>
      <c r="B666" s="2" t="n"/>
      <c r="C666" s="2" t="n"/>
      <c r="D666" s="2" t="n"/>
      <c r="E666" s="2" t="n"/>
      <c r="F666" s="2" t="n"/>
      <c r="G666" s="3" t="n"/>
      <c r="H666" s="2" t="n"/>
      <c r="I666" s="3" t="n"/>
      <c r="J666" s="2" t="n"/>
      <c r="K666" s="2" t="n"/>
      <c r="L666" s="2" t="n"/>
      <c r="M666" s="2" t="n"/>
      <c r="N666" s="2" t="n"/>
      <c r="O666" s="2" t="n"/>
      <c r="P666" s="2" t="n"/>
      <c r="Q666" s="4">
        <f>IF(OR(A666="",E666=""),"",IF(MAXIFS($E$2:$E$1001,$A$2:$A$1001,A666,$E$2:$E$1001,"&lt;"&amp;E666)=0,"",SUMIFS($G$2:$G$1001,$A$2:$A$1001,A666,$E$2:$E$1001,MAXIFS($E$2:$E$1001,$A$2:$A$1001,A666,$E$2:$E$1001,"&lt;"&amp;E666))))</f>
        <v/>
      </c>
      <c r="R666" s="9">
        <f>IF(OR(Q666="",G666=""),"",G666-Q666)</f>
        <v/>
      </c>
      <c r="S666" s="9">
        <f>IF(R666="","",SUMIFS($R$2:$R$1001,$A$2:$A$1001,A666,$E$2:$E$1001,"&lt;="&amp;E666))</f>
        <v/>
      </c>
      <c r="T666" s="5">
        <f>IF(A666="","",IF(R666="","initial",IF(ABS(R666)&lt;=ShiftThresholdDays,"unchanged",IF(R666&gt;0,"delayed","accelerated"))))</f>
        <v/>
      </c>
    </row>
    <row r="667">
      <c r="A667" s="2" t="n"/>
      <c r="B667" s="2" t="n"/>
      <c r="C667" s="2" t="n"/>
      <c r="D667" s="2" t="n"/>
      <c r="E667" s="2" t="n"/>
      <c r="F667" s="2" t="n"/>
      <c r="G667" s="3" t="n"/>
      <c r="H667" s="2" t="n"/>
      <c r="I667" s="3" t="n"/>
      <c r="J667" s="2" t="n"/>
      <c r="K667" s="2" t="n"/>
      <c r="L667" s="2" t="n"/>
      <c r="M667" s="2" t="n"/>
      <c r="N667" s="2" t="n"/>
      <c r="O667" s="2" t="n"/>
      <c r="P667" s="2" t="n"/>
      <c r="Q667" s="4">
        <f>IF(OR(A667="",E667=""),"",IF(MAXIFS($E$2:$E$1001,$A$2:$A$1001,A667,$E$2:$E$1001,"&lt;"&amp;E667)=0,"",SUMIFS($G$2:$G$1001,$A$2:$A$1001,A667,$E$2:$E$1001,MAXIFS($E$2:$E$1001,$A$2:$A$1001,A667,$E$2:$E$1001,"&lt;"&amp;E667))))</f>
        <v/>
      </c>
      <c r="R667" s="9">
        <f>IF(OR(Q667="",G667=""),"",G667-Q667)</f>
        <v/>
      </c>
      <c r="S667" s="9">
        <f>IF(R667="","",SUMIFS($R$2:$R$1001,$A$2:$A$1001,A667,$E$2:$E$1001,"&lt;="&amp;E667))</f>
        <v/>
      </c>
      <c r="T667" s="5">
        <f>IF(A667="","",IF(R667="","initial",IF(ABS(R667)&lt;=ShiftThresholdDays,"unchanged",IF(R667&gt;0,"delayed","accelerated"))))</f>
        <v/>
      </c>
    </row>
    <row r="668">
      <c r="A668" s="2" t="n"/>
      <c r="B668" s="2" t="n"/>
      <c r="C668" s="2" t="n"/>
      <c r="D668" s="2" t="n"/>
      <c r="E668" s="2" t="n"/>
      <c r="F668" s="2" t="n"/>
      <c r="G668" s="3" t="n"/>
      <c r="H668" s="2" t="n"/>
      <c r="I668" s="3" t="n"/>
      <c r="J668" s="2" t="n"/>
      <c r="K668" s="2" t="n"/>
      <c r="L668" s="2" t="n"/>
      <c r="M668" s="2" t="n"/>
      <c r="N668" s="2" t="n"/>
      <c r="O668" s="2" t="n"/>
      <c r="P668" s="2" t="n"/>
      <c r="Q668" s="4">
        <f>IF(OR(A668="",E668=""),"",IF(MAXIFS($E$2:$E$1001,$A$2:$A$1001,A668,$E$2:$E$1001,"&lt;"&amp;E668)=0,"",SUMIFS($G$2:$G$1001,$A$2:$A$1001,A668,$E$2:$E$1001,MAXIFS($E$2:$E$1001,$A$2:$A$1001,A668,$E$2:$E$1001,"&lt;"&amp;E668))))</f>
        <v/>
      </c>
      <c r="R668" s="9">
        <f>IF(OR(Q668="",G668=""),"",G668-Q668)</f>
        <v/>
      </c>
      <c r="S668" s="9">
        <f>IF(R668="","",SUMIFS($R$2:$R$1001,$A$2:$A$1001,A668,$E$2:$E$1001,"&lt;="&amp;E668))</f>
        <v/>
      </c>
      <c r="T668" s="5">
        <f>IF(A668="","",IF(R668="","initial",IF(ABS(R668)&lt;=ShiftThresholdDays,"unchanged",IF(R668&gt;0,"delayed","accelerated"))))</f>
        <v/>
      </c>
    </row>
    <row r="669">
      <c r="A669" s="2" t="n"/>
      <c r="B669" s="2" t="n"/>
      <c r="C669" s="2" t="n"/>
      <c r="D669" s="2" t="n"/>
      <c r="E669" s="2" t="n"/>
      <c r="F669" s="2" t="n"/>
      <c r="G669" s="3" t="n"/>
      <c r="H669" s="2" t="n"/>
      <c r="I669" s="3" t="n"/>
      <c r="J669" s="2" t="n"/>
      <c r="K669" s="2" t="n"/>
      <c r="L669" s="2" t="n"/>
      <c r="M669" s="2" t="n"/>
      <c r="N669" s="2" t="n"/>
      <c r="O669" s="2" t="n"/>
      <c r="P669" s="2" t="n"/>
      <c r="Q669" s="4">
        <f>IF(OR(A669="",E669=""),"",IF(MAXIFS($E$2:$E$1001,$A$2:$A$1001,A669,$E$2:$E$1001,"&lt;"&amp;E669)=0,"",SUMIFS($G$2:$G$1001,$A$2:$A$1001,A669,$E$2:$E$1001,MAXIFS($E$2:$E$1001,$A$2:$A$1001,A669,$E$2:$E$1001,"&lt;"&amp;E669))))</f>
        <v/>
      </c>
      <c r="R669" s="9">
        <f>IF(OR(Q669="",G669=""),"",G669-Q669)</f>
        <v/>
      </c>
      <c r="S669" s="9">
        <f>IF(R669="","",SUMIFS($R$2:$R$1001,$A$2:$A$1001,A669,$E$2:$E$1001,"&lt;="&amp;E669))</f>
        <v/>
      </c>
      <c r="T669" s="5">
        <f>IF(A669="","",IF(R669="","initial",IF(ABS(R669)&lt;=ShiftThresholdDays,"unchanged",IF(R669&gt;0,"delayed","accelerated"))))</f>
        <v/>
      </c>
    </row>
    <row r="670">
      <c r="A670" s="2" t="n"/>
      <c r="B670" s="2" t="n"/>
      <c r="C670" s="2" t="n"/>
      <c r="D670" s="2" t="n"/>
      <c r="E670" s="2" t="n"/>
      <c r="F670" s="2" t="n"/>
      <c r="G670" s="3" t="n"/>
      <c r="H670" s="2" t="n"/>
      <c r="I670" s="3" t="n"/>
      <c r="J670" s="2" t="n"/>
      <c r="K670" s="2" t="n"/>
      <c r="L670" s="2" t="n"/>
      <c r="M670" s="2" t="n"/>
      <c r="N670" s="2" t="n"/>
      <c r="O670" s="2" t="n"/>
      <c r="P670" s="2" t="n"/>
      <c r="Q670" s="4">
        <f>IF(OR(A670="",E670=""),"",IF(MAXIFS($E$2:$E$1001,$A$2:$A$1001,A670,$E$2:$E$1001,"&lt;"&amp;E670)=0,"",SUMIFS($G$2:$G$1001,$A$2:$A$1001,A670,$E$2:$E$1001,MAXIFS($E$2:$E$1001,$A$2:$A$1001,A670,$E$2:$E$1001,"&lt;"&amp;E670))))</f>
        <v/>
      </c>
      <c r="R670" s="9">
        <f>IF(OR(Q670="",G670=""),"",G670-Q670)</f>
        <v/>
      </c>
      <c r="S670" s="9">
        <f>IF(R670="","",SUMIFS($R$2:$R$1001,$A$2:$A$1001,A670,$E$2:$E$1001,"&lt;="&amp;E670))</f>
        <v/>
      </c>
      <c r="T670" s="5">
        <f>IF(A670="","",IF(R670="","initial",IF(ABS(R670)&lt;=ShiftThresholdDays,"unchanged",IF(R670&gt;0,"delayed","accelerated"))))</f>
        <v/>
      </c>
    </row>
    <row r="671">
      <c r="A671" s="2" t="n"/>
      <c r="B671" s="2" t="n"/>
      <c r="C671" s="2" t="n"/>
      <c r="D671" s="2" t="n"/>
      <c r="E671" s="2" t="n"/>
      <c r="F671" s="2" t="n"/>
      <c r="G671" s="3" t="n"/>
      <c r="H671" s="2" t="n"/>
      <c r="I671" s="3" t="n"/>
      <c r="J671" s="2" t="n"/>
      <c r="K671" s="2" t="n"/>
      <c r="L671" s="2" t="n"/>
      <c r="M671" s="2" t="n"/>
      <c r="N671" s="2" t="n"/>
      <c r="O671" s="2" t="n"/>
      <c r="P671" s="2" t="n"/>
      <c r="Q671" s="4">
        <f>IF(OR(A671="",E671=""),"",IF(MAXIFS($E$2:$E$1001,$A$2:$A$1001,A671,$E$2:$E$1001,"&lt;"&amp;E671)=0,"",SUMIFS($G$2:$G$1001,$A$2:$A$1001,A671,$E$2:$E$1001,MAXIFS($E$2:$E$1001,$A$2:$A$1001,A671,$E$2:$E$1001,"&lt;"&amp;E671))))</f>
        <v/>
      </c>
      <c r="R671" s="9">
        <f>IF(OR(Q671="",G671=""),"",G671-Q671)</f>
        <v/>
      </c>
      <c r="S671" s="9">
        <f>IF(R671="","",SUMIFS($R$2:$R$1001,$A$2:$A$1001,A671,$E$2:$E$1001,"&lt;="&amp;E671))</f>
        <v/>
      </c>
      <c r="T671" s="5">
        <f>IF(A671="","",IF(R671="","initial",IF(ABS(R671)&lt;=ShiftThresholdDays,"unchanged",IF(R671&gt;0,"delayed","accelerated"))))</f>
        <v/>
      </c>
    </row>
    <row r="672">
      <c r="A672" s="2" t="n"/>
      <c r="B672" s="2" t="n"/>
      <c r="C672" s="2" t="n"/>
      <c r="D672" s="2" t="n"/>
      <c r="E672" s="2" t="n"/>
      <c r="F672" s="2" t="n"/>
      <c r="G672" s="3" t="n"/>
      <c r="H672" s="2" t="n"/>
      <c r="I672" s="3" t="n"/>
      <c r="J672" s="2" t="n"/>
      <c r="K672" s="2" t="n"/>
      <c r="L672" s="2" t="n"/>
      <c r="M672" s="2" t="n"/>
      <c r="N672" s="2" t="n"/>
      <c r="O672" s="2" t="n"/>
      <c r="P672" s="2" t="n"/>
      <c r="Q672" s="4">
        <f>IF(OR(A672="",E672=""),"",IF(MAXIFS($E$2:$E$1001,$A$2:$A$1001,A672,$E$2:$E$1001,"&lt;"&amp;E672)=0,"",SUMIFS($G$2:$G$1001,$A$2:$A$1001,A672,$E$2:$E$1001,MAXIFS($E$2:$E$1001,$A$2:$A$1001,A672,$E$2:$E$1001,"&lt;"&amp;E672))))</f>
        <v/>
      </c>
      <c r="R672" s="9">
        <f>IF(OR(Q672="",G672=""),"",G672-Q672)</f>
        <v/>
      </c>
      <c r="S672" s="9">
        <f>IF(R672="","",SUMIFS($R$2:$R$1001,$A$2:$A$1001,A672,$E$2:$E$1001,"&lt;="&amp;E672))</f>
        <v/>
      </c>
      <c r="T672" s="5">
        <f>IF(A672="","",IF(R672="","initial",IF(ABS(R672)&lt;=ShiftThresholdDays,"unchanged",IF(R672&gt;0,"delayed","accelerated"))))</f>
        <v/>
      </c>
    </row>
    <row r="673">
      <c r="A673" s="2" t="n"/>
      <c r="B673" s="2" t="n"/>
      <c r="C673" s="2" t="n"/>
      <c r="D673" s="2" t="n"/>
      <c r="E673" s="2" t="n"/>
      <c r="F673" s="2" t="n"/>
      <c r="G673" s="3" t="n"/>
      <c r="H673" s="2" t="n"/>
      <c r="I673" s="3" t="n"/>
      <c r="J673" s="2" t="n"/>
      <c r="K673" s="2" t="n"/>
      <c r="L673" s="2" t="n"/>
      <c r="M673" s="2" t="n"/>
      <c r="N673" s="2" t="n"/>
      <c r="O673" s="2" t="n"/>
      <c r="P673" s="2" t="n"/>
      <c r="Q673" s="4">
        <f>IF(OR(A673="",E673=""),"",IF(MAXIFS($E$2:$E$1001,$A$2:$A$1001,A673,$E$2:$E$1001,"&lt;"&amp;E673)=0,"",SUMIFS($G$2:$G$1001,$A$2:$A$1001,A673,$E$2:$E$1001,MAXIFS($E$2:$E$1001,$A$2:$A$1001,A673,$E$2:$E$1001,"&lt;"&amp;E673))))</f>
        <v/>
      </c>
      <c r="R673" s="9">
        <f>IF(OR(Q673="",G673=""),"",G673-Q673)</f>
        <v/>
      </c>
      <c r="S673" s="9">
        <f>IF(R673="","",SUMIFS($R$2:$R$1001,$A$2:$A$1001,A673,$E$2:$E$1001,"&lt;="&amp;E673))</f>
        <v/>
      </c>
      <c r="T673" s="5">
        <f>IF(A673="","",IF(R673="","initial",IF(ABS(R673)&lt;=ShiftThresholdDays,"unchanged",IF(R673&gt;0,"delayed","accelerated"))))</f>
        <v/>
      </c>
    </row>
    <row r="674">
      <c r="A674" s="2" t="n"/>
      <c r="B674" s="2" t="n"/>
      <c r="C674" s="2" t="n"/>
      <c r="D674" s="2" t="n"/>
      <c r="E674" s="2" t="n"/>
      <c r="F674" s="2" t="n"/>
      <c r="G674" s="3" t="n"/>
      <c r="H674" s="2" t="n"/>
      <c r="I674" s="3" t="n"/>
      <c r="J674" s="2" t="n"/>
      <c r="K674" s="2" t="n"/>
      <c r="L674" s="2" t="n"/>
      <c r="M674" s="2" t="n"/>
      <c r="N674" s="2" t="n"/>
      <c r="O674" s="2" t="n"/>
      <c r="P674" s="2" t="n"/>
      <c r="Q674" s="4">
        <f>IF(OR(A674="",E674=""),"",IF(MAXIFS($E$2:$E$1001,$A$2:$A$1001,A674,$E$2:$E$1001,"&lt;"&amp;E674)=0,"",SUMIFS($G$2:$G$1001,$A$2:$A$1001,A674,$E$2:$E$1001,MAXIFS($E$2:$E$1001,$A$2:$A$1001,A674,$E$2:$E$1001,"&lt;"&amp;E674))))</f>
        <v/>
      </c>
      <c r="R674" s="9">
        <f>IF(OR(Q674="",G674=""),"",G674-Q674)</f>
        <v/>
      </c>
      <c r="S674" s="9">
        <f>IF(R674="","",SUMIFS($R$2:$R$1001,$A$2:$A$1001,A674,$E$2:$E$1001,"&lt;="&amp;E674))</f>
        <v/>
      </c>
      <c r="T674" s="5">
        <f>IF(A674="","",IF(R674="","initial",IF(ABS(R674)&lt;=ShiftThresholdDays,"unchanged",IF(R674&gt;0,"delayed","accelerated"))))</f>
        <v/>
      </c>
    </row>
    <row r="675">
      <c r="A675" s="2" t="n"/>
      <c r="B675" s="2" t="n"/>
      <c r="C675" s="2" t="n"/>
      <c r="D675" s="2" t="n"/>
      <c r="E675" s="2" t="n"/>
      <c r="F675" s="2" t="n"/>
      <c r="G675" s="3" t="n"/>
      <c r="H675" s="2" t="n"/>
      <c r="I675" s="3" t="n"/>
      <c r="J675" s="2" t="n"/>
      <c r="K675" s="2" t="n"/>
      <c r="L675" s="2" t="n"/>
      <c r="M675" s="2" t="n"/>
      <c r="N675" s="2" t="n"/>
      <c r="O675" s="2" t="n"/>
      <c r="P675" s="2" t="n"/>
      <c r="Q675" s="4">
        <f>IF(OR(A675="",E675=""),"",IF(MAXIFS($E$2:$E$1001,$A$2:$A$1001,A675,$E$2:$E$1001,"&lt;"&amp;E675)=0,"",SUMIFS($G$2:$G$1001,$A$2:$A$1001,A675,$E$2:$E$1001,MAXIFS($E$2:$E$1001,$A$2:$A$1001,A675,$E$2:$E$1001,"&lt;"&amp;E675))))</f>
        <v/>
      </c>
      <c r="R675" s="9">
        <f>IF(OR(Q675="",G675=""),"",G675-Q675)</f>
        <v/>
      </c>
      <c r="S675" s="9">
        <f>IF(R675="","",SUMIFS($R$2:$R$1001,$A$2:$A$1001,A675,$E$2:$E$1001,"&lt;="&amp;E675))</f>
        <v/>
      </c>
      <c r="T675" s="5">
        <f>IF(A675="","",IF(R675="","initial",IF(ABS(R675)&lt;=ShiftThresholdDays,"unchanged",IF(R675&gt;0,"delayed","accelerated"))))</f>
        <v/>
      </c>
    </row>
    <row r="676">
      <c r="A676" s="2" t="n"/>
      <c r="B676" s="2" t="n"/>
      <c r="C676" s="2" t="n"/>
      <c r="D676" s="2" t="n"/>
      <c r="E676" s="2" t="n"/>
      <c r="F676" s="2" t="n"/>
      <c r="G676" s="3" t="n"/>
      <c r="H676" s="2" t="n"/>
      <c r="I676" s="3" t="n"/>
      <c r="J676" s="2" t="n"/>
      <c r="K676" s="2" t="n"/>
      <c r="L676" s="2" t="n"/>
      <c r="M676" s="2" t="n"/>
      <c r="N676" s="2" t="n"/>
      <c r="O676" s="2" t="n"/>
      <c r="P676" s="2" t="n"/>
      <c r="Q676" s="4">
        <f>IF(OR(A676="",E676=""),"",IF(MAXIFS($E$2:$E$1001,$A$2:$A$1001,A676,$E$2:$E$1001,"&lt;"&amp;E676)=0,"",SUMIFS($G$2:$G$1001,$A$2:$A$1001,A676,$E$2:$E$1001,MAXIFS($E$2:$E$1001,$A$2:$A$1001,A676,$E$2:$E$1001,"&lt;"&amp;E676))))</f>
        <v/>
      </c>
      <c r="R676" s="9">
        <f>IF(OR(Q676="",G676=""),"",G676-Q676)</f>
        <v/>
      </c>
      <c r="S676" s="9">
        <f>IF(R676="","",SUMIFS($R$2:$R$1001,$A$2:$A$1001,A676,$E$2:$E$1001,"&lt;="&amp;E676))</f>
        <v/>
      </c>
      <c r="T676" s="5">
        <f>IF(A676="","",IF(R676="","initial",IF(ABS(R676)&lt;=ShiftThresholdDays,"unchanged",IF(R676&gt;0,"delayed","accelerated"))))</f>
        <v/>
      </c>
    </row>
    <row r="677">
      <c r="A677" s="2" t="n"/>
      <c r="B677" s="2" t="n"/>
      <c r="C677" s="2" t="n"/>
      <c r="D677" s="2" t="n"/>
      <c r="E677" s="2" t="n"/>
      <c r="F677" s="2" t="n"/>
      <c r="G677" s="3" t="n"/>
      <c r="H677" s="2" t="n"/>
      <c r="I677" s="3" t="n"/>
      <c r="J677" s="2" t="n"/>
      <c r="K677" s="2" t="n"/>
      <c r="L677" s="2" t="n"/>
      <c r="M677" s="2" t="n"/>
      <c r="N677" s="2" t="n"/>
      <c r="O677" s="2" t="n"/>
      <c r="P677" s="2" t="n"/>
      <c r="Q677" s="4">
        <f>IF(OR(A677="",E677=""),"",IF(MAXIFS($E$2:$E$1001,$A$2:$A$1001,A677,$E$2:$E$1001,"&lt;"&amp;E677)=0,"",SUMIFS($G$2:$G$1001,$A$2:$A$1001,A677,$E$2:$E$1001,MAXIFS($E$2:$E$1001,$A$2:$A$1001,A677,$E$2:$E$1001,"&lt;"&amp;E677))))</f>
        <v/>
      </c>
      <c r="R677" s="9">
        <f>IF(OR(Q677="",G677=""),"",G677-Q677)</f>
        <v/>
      </c>
      <c r="S677" s="9">
        <f>IF(R677="","",SUMIFS($R$2:$R$1001,$A$2:$A$1001,A677,$E$2:$E$1001,"&lt;="&amp;E677))</f>
        <v/>
      </c>
      <c r="T677" s="5">
        <f>IF(A677="","",IF(R677="","initial",IF(ABS(R677)&lt;=ShiftThresholdDays,"unchanged",IF(R677&gt;0,"delayed","accelerated"))))</f>
        <v/>
      </c>
    </row>
    <row r="678">
      <c r="A678" s="2" t="n"/>
      <c r="B678" s="2" t="n"/>
      <c r="C678" s="2" t="n"/>
      <c r="D678" s="2" t="n"/>
      <c r="E678" s="2" t="n"/>
      <c r="F678" s="2" t="n"/>
      <c r="G678" s="3" t="n"/>
      <c r="H678" s="2" t="n"/>
      <c r="I678" s="3" t="n"/>
      <c r="J678" s="2" t="n"/>
      <c r="K678" s="2" t="n"/>
      <c r="L678" s="2" t="n"/>
      <c r="M678" s="2" t="n"/>
      <c r="N678" s="2" t="n"/>
      <c r="O678" s="2" t="n"/>
      <c r="P678" s="2" t="n"/>
      <c r="Q678" s="4">
        <f>IF(OR(A678="",E678=""),"",IF(MAXIFS($E$2:$E$1001,$A$2:$A$1001,A678,$E$2:$E$1001,"&lt;"&amp;E678)=0,"",SUMIFS($G$2:$G$1001,$A$2:$A$1001,A678,$E$2:$E$1001,MAXIFS($E$2:$E$1001,$A$2:$A$1001,A678,$E$2:$E$1001,"&lt;"&amp;E678))))</f>
        <v/>
      </c>
      <c r="R678" s="9">
        <f>IF(OR(Q678="",G678=""),"",G678-Q678)</f>
        <v/>
      </c>
      <c r="S678" s="9">
        <f>IF(R678="","",SUMIFS($R$2:$R$1001,$A$2:$A$1001,A678,$E$2:$E$1001,"&lt;="&amp;E678))</f>
        <v/>
      </c>
      <c r="T678" s="5">
        <f>IF(A678="","",IF(R678="","initial",IF(ABS(R678)&lt;=ShiftThresholdDays,"unchanged",IF(R678&gt;0,"delayed","accelerated"))))</f>
        <v/>
      </c>
    </row>
    <row r="679">
      <c r="A679" s="2" t="n"/>
      <c r="B679" s="2" t="n"/>
      <c r="C679" s="2" t="n"/>
      <c r="D679" s="2" t="n"/>
      <c r="E679" s="2" t="n"/>
      <c r="F679" s="2" t="n"/>
      <c r="G679" s="3" t="n"/>
      <c r="H679" s="2" t="n"/>
      <c r="I679" s="3" t="n"/>
      <c r="J679" s="2" t="n"/>
      <c r="K679" s="2" t="n"/>
      <c r="L679" s="2" t="n"/>
      <c r="M679" s="2" t="n"/>
      <c r="N679" s="2" t="n"/>
      <c r="O679" s="2" t="n"/>
      <c r="P679" s="2" t="n"/>
      <c r="Q679" s="4">
        <f>IF(OR(A679="",E679=""),"",IF(MAXIFS($E$2:$E$1001,$A$2:$A$1001,A679,$E$2:$E$1001,"&lt;"&amp;E679)=0,"",SUMIFS($G$2:$G$1001,$A$2:$A$1001,A679,$E$2:$E$1001,MAXIFS($E$2:$E$1001,$A$2:$A$1001,A679,$E$2:$E$1001,"&lt;"&amp;E679))))</f>
        <v/>
      </c>
      <c r="R679" s="9">
        <f>IF(OR(Q679="",G679=""),"",G679-Q679)</f>
        <v/>
      </c>
      <c r="S679" s="9">
        <f>IF(R679="","",SUMIFS($R$2:$R$1001,$A$2:$A$1001,A679,$E$2:$E$1001,"&lt;="&amp;E679))</f>
        <v/>
      </c>
      <c r="T679" s="5">
        <f>IF(A679="","",IF(R679="","initial",IF(ABS(R679)&lt;=ShiftThresholdDays,"unchanged",IF(R679&gt;0,"delayed","accelerated"))))</f>
        <v/>
      </c>
    </row>
    <row r="680">
      <c r="A680" s="2" t="n"/>
      <c r="B680" s="2" t="n"/>
      <c r="C680" s="2" t="n"/>
      <c r="D680" s="2" t="n"/>
      <c r="E680" s="2" t="n"/>
      <c r="F680" s="2" t="n"/>
      <c r="G680" s="3" t="n"/>
      <c r="H680" s="2" t="n"/>
      <c r="I680" s="3" t="n"/>
      <c r="J680" s="2" t="n"/>
      <c r="K680" s="2" t="n"/>
      <c r="L680" s="2" t="n"/>
      <c r="M680" s="2" t="n"/>
      <c r="N680" s="2" t="n"/>
      <c r="O680" s="2" t="n"/>
      <c r="P680" s="2" t="n"/>
      <c r="Q680" s="4">
        <f>IF(OR(A680="",E680=""),"",IF(MAXIFS($E$2:$E$1001,$A$2:$A$1001,A680,$E$2:$E$1001,"&lt;"&amp;E680)=0,"",SUMIFS($G$2:$G$1001,$A$2:$A$1001,A680,$E$2:$E$1001,MAXIFS($E$2:$E$1001,$A$2:$A$1001,A680,$E$2:$E$1001,"&lt;"&amp;E680))))</f>
        <v/>
      </c>
      <c r="R680" s="9">
        <f>IF(OR(Q680="",G680=""),"",G680-Q680)</f>
        <v/>
      </c>
      <c r="S680" s="9">
        <f>IF(R680="","",SUMIFS($R$2:$R$1001,$A$2:$A$1001,A680,$E$2:$E$1001,"&lt;="&amp;E680))</f>
        <v/>
      </c>
      <c r="T680" s="5">
        <f>IF(A680="","",IF(R680="","initial",IF(ABS(R680)&lt;=ShiftThresholdDays,"unchanged",IF(R680&gt;0,"delayed","accelerated"))))</f>
        <v/>
      </c>
    </row>
    <row r="681">
      <c r="A681" s="2" t="n"/>
      <c r="B681" s="2" t="n"/>
      <c r="C681" s="2" t="n"/>
      <c r="D681" s="2" t="n"/>
      <c r="E681" s="2" t="n"/>
      <c r="F681" s="2" t="n"/>
      <c r="G681" s="3" t="n"/>
      <c r="H681" s="2" t="n"/>
      <c r="I681" s="3" t="n"/>
      <c r="J681" s="2" t="n"/>
      <c r="K681" s="2" t="n"/>
      <c r="L681" s="2" t="n"/>
      <c r="M681" s="2" t="n"/>
      <c r="N681" s="2" t="n"/>
      <c r="O681" s="2" t="n"/>
      <c r="P681" s="2" t="n"/>
      <c r="Q681" s="4">
        <f>IF(OR(A681="",E681=""),"",IF(MAXIFS($E$2:$E$1001,$A$2:$A$1001,A681,$E$2:$E$1001,"&lt;"&amp;E681)=0,"",SUMIFS($G$2:$G$1001,$A$2:$A$1001,A681,$E$2:$E$1001,MAXIFS($E$2:$E$1001,$A$2:$A$1001,A681,$E$2:$E$1001,"&lt;"&amp;E681))))</f>
        <v/>
      </c>
      <c r="R681" s="9">
        <f>IF(OR(Q681="",G681=""),"",G681-Q681)</f>
        <v/>
      </c>
      <c r="S681" s="9">
        <f>IF(R681="","",SUMIFS($R$2:$R$1001,$A$2:$A$1001,A681,$E$2:$E$1001,"&lt;="&amp;E681))</f>
        <v/>
      </c>
      <c r="T681" s="5">
        <f>IF(A681="","",IF(R681="","initial",IF(ABS(R681)&lt;=ShiftThresholdDays,"unchanged",IF(R681&gt;0,"delayed","accelerated"))))</f>
        <v/>
      </c>
    </row>
    <row r="682">
      <c r="A682" s="2" t="n"/>
      <c r="B682" s="2" t="n"/>
      <c r="C682" s="2" t="n"/>
      <c r="D682" s="2" t="n"/>
      <c r="E682" s="2" t="n"/>
      <c r="F682" s="2" t="n"/>
      <c r="G682" s="3" t="n"/>
      <c r="H682" s="2" t="n"/>
      <c r="I682" s="3" t="n"/>
      <c r="J682" s="2" t="n"/>
      <c r="K682" s="2" t="n"/>
      <c r="L682" s="2" t="n"/>
      <c r="M682" s="2" t="n"/>
      <c r="N682" s="2" t="n"/>
      <c r="O682" s="2" t="n"/>
      <c r="P682" s="2" t="n"/>
      <c r="Q682" s="4">
        <f>IF(OR(A682="",E682=""),"",IF(MAXIFS($E$2:$E$1001,$A$2:$A$1001,A682,$E$2:$E$1001,"&lt;"&amp;E682)=0,"",SUMIFS($G$2:$G$1001,$A$2:$A$1001,A682,$E$2:$E$1001,MAXIFS($E$2:$E$1001,$A$2:$A$1001,A682,$E$2:$E$1001,"&lt;"&amp;E682))))</f>
        <v/>
      </c>
      <c r="R682" s="9">
        <f>IF(OR(Q682="",G682=""),"",G682-Q682)</f>
        <v/>
      </c>
      <c r="S682" s="9">
        <f>IF(R682="","",SUMIFS($R$2:$R$1001,$A$2:$A$1001,A682,$E$2:$E$1001,"&lt;="&amp;E682))</f>
        <v/>
      </c>
      <c r="T682" s="5">
        <f>IF(A682="","",IF(R682="","initial",IF(ABS(R682)&lt;=ShiftThresholdDays,"unchanged",IF(R682&gt;0,"delayed","accelerated"))))</f>
        <v/>
      </c>
    </row>
    <row r="683">
      <c r="A683" s="2" t="n"/>
      <c r="B683" s="2" t="n"/>
      <c r="C683" s="2" t="n"/>
      <c r="D683" s="2" t="n"/>
      <c r="E683" s="2" t="n"/>
      <c r="F683" s="2" t="n"/>
      <c r="G683" s="3" t="n"/>
      <c r="H683" s="2" t="n"/>
      <c r="I683" s="3" t="n"/>
      <c r="J683" s="2" t="n"/>
      <c r="K683" s="2" t="n"/>
      <c r="L683" s="2" t="n"/>
      <c r="M683" s="2" t="n"/>
      <c r="N683" s="2" t="n"/>
      <c r="O683" s="2" t="n"/>
      <c r="P683" s="2" t="n"/>
      <c r="Q683" s="4">
        <f>IF(OR(A683="",E683=""),"",IF(MAXIFS($E$2:$E$1001,$A$2:$A$1001,A683,$E$2:$E$1001,"&lt;"&amp;E683)=0,"",SUMIFS($G$2:$G$1001,$A$2:$A$1001,A683,$E$2:$E$1001,MAXIFS($E$2:$E$1001,$A$2:$A$1001,A683,$E$2:$E$1001,"&lt;"&amp;E683))))</f>
        <v/>
      </c>
      <c r="R683" s="9">
        <f>IF(OR(Q683="",G683=""),"",G683-Q683)</f>
        <v/>
      </c>
      <c r="S683" s="9">
        <f>IF(R683="","",SUMIFS($R$2:$R$1001,$A$2:$A$1001,A683,$E$2:$E$1001,"&lt;="&amp;E683))</f>
        <v/>
      </c>
      <c r="T683" s="5">
        <f>IF(A683="","",IF(R683="","initial",IF(ABS(R683)&lt;=ShiftThresholdDays,"unchanged",IF(R683&gt;0,"delayed","accelerated"))))</f>
        <v/>
      </c>
    </row>
    <row r="684">
      <c r="A684" s="2" t="n"/>
      <c r="B684" s="2" t="n"/>
      <c r="C684" s="2" t="n"/>
      <c r="D684" s="2" t="n"/>
      <c r="E684" s="2" t="n"/>
      <c r="F684" s="2" t="n"/>
      <c r="G684" s="3" t="n"/>
      <c r="H684" s="2" t="n"/>
      <c r="I684" s="3" t="n"/>
      <c r="J684" s="2" t="n"/>
      <c r="K684" s="2" t="n"/>
      <c r="L684" s="2" t="n"/>
      <c r="M684" s="2" t="n"/>
      <c r="N684" s="2" t="n"/>
      <c r="O684" s="2" t="n"/>
      <c r="P684" s="2" t="n"/>
      <c r="Q684" s="4">
        <f>IF(OR(A684="",E684=""),"",IF(MAXIFS($E$2:$E$1001,$A$2:$A$1001,A684,$E$2:$E$1001,"&lt;"&amp;E684)=0,"",SUMIFS($G$2:$G$1001,$A$2:$A$1001,A684,$E$2:$E$1001,MAXIFS($E$2:$E$1001,$A$2:$A$1001,A684,$E$2:$E$1001,"&lt;"&amp;E684))))</f>
        <v/>
      </c>
      <c r="R684" s="9">
        <f>IF(OR(Q684="",G684=""),"",G684-Q684)</f>
        <v/>
      </c>
      <c r="S684" s="9">
        <f>IF(R684="","",SUMIFS($R$2:$R$1001,$A$2:$A$1001,A684,$E$2:$E$1001,"&lt;="&amp;E684))</f>
        <v/>
      </c>
      <c r="T684" s="5">
        <f>IF(A684="","",IF(R684="","initial",IF(ABS(R684)&lt;=ShiftThresholdDays,"unchanged",IF(R684&gt;0,"delayed","accelerated"))))</f>
        <v/>
      </c>
    </row>
    <row r="685">
      <c r="A685" s="2" t="n"/>
      <c r="B685" s="2" t="n"/>
      <c r="C685" s="2" t="n"/>
      <c r="D685" s="2" t="n"/>
      <c r="E685" s="2" t="n"/>
      <c r="F685" s="2" t="n"/>
      <c r="G685" s="3" t="n"/>
      <c r="H685" s="2" t="n"/>
      <c r="I685" s="3" t="n"/>
      <c r="J685" s="2" t="n"/>
      <c r="K685" s="2" t="n"/>
      <c r="L685" s="2" t="n"/>
      <c r="M685" s="2" t="n"/>
      <c r="N685" s="2" t="n"/>
      <c r="O685" s="2" t="n"/>
      <c r="P685" s="2" t="n"/>
      <c r="Q685" s="4">
        <f>IF(OR(A685="",E685=""),"",IF(MAXIFS($E$2:$E$1001,$A$2:$A$1001,A685,$E$2:$E$1001,"&lt;"&amp;E685)=0,"",SUMIFS($G$2:$G$1001,$A$2:$A$1001,A685,$E$2:$E$1001,MAXIFS($E$2:$E$1001,$A$2:$A$1001,A685,$E$2:$E$1001,"&lt;"&amp;E685))))</f>
        <v/>
      </c>
      <c r="R685" s="9">
        <f>IF(OR(Q685="",G685=""),"",G685-Q685)</f>
        <v/>
      </c>
      <c r="S685" s="9">
        <f>IF(R685="","",SUMIFS($R$2:$R$1001,$A$2:$A$1001,A685,$E$2:$E$1001,"&lt;="&amp;E685))</f>
        <v/>
      </c>
      <c r="T685" s="5">
        <f>IF(A685="","",IF(R685="","initial",IF(ABS(R685)&lt;=ShiftThresholdDays,"unchanged",IF(R685&gt;0,"delayed","accelerated"))))</f>
        <v/>
      </c>
    </row>
    <row r="686">
      <c r="A686" s="2" t="n"/>
      <c r="B686" s="2" t="n"/>
      <c r="C686" s="2" t="n"/>
      <c r="D686" s="2" t="n"/>
      <c r="E686" s="2" t="n"/>
      <c r="F686" s="2" t="n"/>
      <c r="G686" s="3" t="n"/>
      <c r="H686" s="2" t="n"/>
      <c r="I686" s="3" t="n"/>
      <c r="J686" s="2" t="n"/>
      <c r="K686" s="2" t="n"/>
      <c r="L686" s="2" t="n"/>
      <c r="M686" s="2" t="n"/>
      <c r="N686" s="2" t="n"/>
      <c r="O686" s="2" t="n"/>
      <c r="P686" s="2" t="n"/>
      <c r="Q686" s="4">
        <f>IF(OR(A686="",E686=""),"",IF(MAXIFS($E$2:$E$1001,$A$2:$A$1001,A686,$E$2:$E$1001,"&lt;"&amp;E686)=0,"",SUMIFS($G$2:$G$1001,$A$2:$A$1001,A686,$E$2:$E$1001,MAXIFS($E$2:$E$1001,$A$2:$A$1001,A686,$E$2:$E$1001,"&lt;"&amp;E686))))</f>
        <v/>
      </c>
      <c r="R686" s="9">
        <f>IF(OR(Q686="",G686=""),"",G686-Q686)</f>
        <v/>
      </c>
      <c r="S686" s="9">
        <f>IF(R686="","",SUMIFS($R$2:$R$1001,$A$2:$A$1001,A686,$E$2:$E$1001,"&lt;="&amp;E686))</f>
        <v/>
      </c>
      <c r="T686" s="5">
        <f>IF(A686="","",IF(R686="","initial",IF(ABS(R686)&lt;=ShiftThresholdDays,"unchanged",IF(R686&gt;0,"delayed","accelerated"))))</f>
        <v/>
      </c>
    </row>
    <row r="687">
      <c r="A687" s="2" t="n"/>
      <c r="B687" s="2" t="n"/>
      <c r="C687" s="2" t="n"/>
      <c r="D687" s="2" t="n"/>
      <c r="E687" s="2" t="n"/>
      <c r="F687" s="2" t="n"/>
      <c r="G687" s="3" t="n"/>
      <c r="H687" s="2" t="n"/>
      <c r="I687" s="3" t="n"/>
      <c r="J687" s="2" t="n"/>
      <c r="K687" s="2" t="n"/>
      <c r="L687" s="2" t="n"/>
      <c r="M687" s="2" t="n"/>
      <c r="N687" s="2" t="n"/>
      <c r="O687" s="2" t="n"/>
      <c r="P687" s="2" t="n"/>
      <c r="Q687" s="4">
        <f>IF(OR(A687="",E687=""),"",IF(MAXIFS($E$2:$E$1001,$A$2:$A$1001,A687,$E$2:$E$1001,"&lt;"&amp;E687)=0,"",SUMIFS($G$2:$G$1001,$A$2:$A$1001,A687,$E$2:$E$1001,MAXIFS($E$2:$E$1001,$A$2:$A$1001,A687,$E$2:$E$1001,"&lt;"&amp;E687))))</f>
        <v/>
      </c>
      <c r="R687" s="9">
        <f>IF(OR(Q687="",G687=""),"",G687-Q687)</f>
        <v/>
      </c>
      <c r="S687" s="9">
        <f>IF(R687="","",SUMIFS($R$2:$R$1001,$A$2:$A$1001,A687,$E$2:$E$1001,"&lt;="&amp;E687))</f>
        <v/>
      </c>
      <c r="T687" s="5">
        <f>IF(A687="","",IF(R687="","initial",IF(ABS(R687)&lt;=ShiftThresholdDays,"unchanged",IF(R687&gt;0,"delayed","accelerated"))))</f>
        <v/>
      </c>
    </row>
    <row r="688">
      <c r="A688" s="2" t="n"/>
      <c r="B688" s="2" t="n"/>
      <c r="C688" s="2" t="n"/>
      <c r="D688" s="2" t="n"/>
      <c r="E688" s="2" t="n"/>
      <c r="F688" s="2" t="n"/>
      <c r="G688" s="3" t="n"/>
      <c r="H688" s="2" t="n"/>
      <c r="I688" s="3" t="n"/>
      <c r="J688" s="2" t="n"/>
      <c r="K688" s="2" t="n"/>
      <c r="L688" s="2" t="n"/>
      <c r="M688" s="2" t="n"/>
      <c r="N688" s="2" t="n"/>
      <c r="O688" s="2" t="n"/>
      <c r="P688" s="2" t="n"/>
      <c r="Q688" s="4">
        <f>IF(OR(A688="",E688=""),"",IF(MAXIFS($E$2:$E$1001,$A$2:$A$1001,A688,$E$2:$E$1001,"&lt;"&amp;E688)=0,"",SUMIFS($G$2:$G$1001,$A$2:$A$1001,A688,$E$2:$E$1001,MAXIFS($E$2:$E$1001,$A$2:$A$1001,A688,$E$2:$E$1001,"&lt;"&amp;E688))))</f>
        <v/>
      </c>
      <c r="R688" s="9">
        <f>IF(OR(Q688="",G688=""),"",G688-Q688)</f>
        <v/>
      </c>
      <c r="S688" s="9">
        <f>IF(R688="","",SUMIFS($R$2:$R$1001,$A$2:$A$1001,A688,$E$2:$E$1001,"&lt;="&amp;E688))</f>
        <v/>
      </c>
      <c r="T688" s="5">
        <f>IF(A688="","",IF(R688="","initial",IF(ABS(R688)&lt;=ShiftThresholdDays,"unchanged",IF(R688&gt;0,"delayed","accelerated"))))</f>
        <v/>
      </c>
    </row>
    <row r="689">
      <c r="A689" s="2" t="n"/>
      <c r="B689" s="2" t="n"/>
      <c r="C689" s="2" t="n"/>
      <c r="D689" s="2" t="n"/>
      <c r="E689" s="2" t="n"/>
      <c r="F689" s="2" t="n"/>
      <c r="G689" s="3" t="n"/>
      <c r="H689" s="2" t="n"/>
      <c r="I689" s="3" t="n"/>
      <c r="J689" s="2" t="n"/>
      <c r="K689" s="2" t="n"/>
      <c r="L689" s="2" t="n"/>
      <c r="M689" s="2" t="n"/>
      <c r="N689" s="2" t="n"/>
      <c r="O689" s="2" t="n"/>
      <c r="P689" s="2" t="n"/>
      <c r="Q689" s="4">
        <f>IF(OR(A689="",E689=""),"",IF(MAXIFS($E$2:$E$1001,$A$2:$A$1001,A689,$E$2:$E$1001,"&lt;"&amp;E689)=0,"",SUMIFS($G$2:$G$1001,$A$2:$A$1001,A689,$E$2:$E$1001,MAXIFS($E$2:$E$1001,$A$2:$A$1001,A689,$E$2:$E$1001,"&lt;"&amp;E689))))</f>
        <v/>
      </c>
      <c r="R689" s="9">
        <f>IF(OR(Q689="",G689=""),"",G689-Q689)</f>
        <v/>
      </c>
      <c r="S689" s="9">
        <f>IF(R689="","",SUMIFS($R$2:$R$1001,$A$2:$A$1001,A689,$E$2:$E$1001,"&lt;="&amp;E689))</f>
        <v/>
      </c>
      <c r="T689" s="5">
        <f>IF(A689="","",IF(R689="","initial",IF(ABS(R689)&lt;=ShiftThresholdDays,"unchanged",IF(R689&gt;0,"delayed","accelerated"))))</f>
        <v/>
      </c>
    </row>
    <row r="690">
      <c r="A690" s="2" t="n"/>
      <c r="B690" s="2" t="n"/>
      <c r="C690" s="2" t="n"/>
      <c r="D690" s="2" t="n"/>
      <c r="E690" s="2" t="n"/>
      <c r="F690" s="2" t="n"/>
      <c r="G690" s="3" t="n"/>
      <c r="H690" s="2" t="n"/>
      <c r="I690" s="3" t="n"/>
      <c r="J690" s="2" t="n"/>
      <c r="K690" s="2" t="n"/>
      <c r="L690" s="2" t="n"/>
      <c r="M690" s="2" t="n"/>
      <c r="N690" s="2" t="n"/>
      <c r="O690" s="2" t="n"/>
      <c r="P690" s="2" t="n"/>
      <c r="Q690" s="4">
        <f>IF(OR(A690="",E690=""),"",IF(MAXIFS($E$2:$E$1001,$A$2:$A$1001,A690,$E$2:$E$1001,"&lt;"&amp;E690)=0,"",SUMIFS($G$2:$G$1001,$A$2:$A$1001,A690,$E$2:$E$1001,MAXIFS($E$2:$E$1001,$A$2:$A$1001,A690,$E$2:$E$1001,"&lt;"&amp;E690))))</f>
        <v/>
      </c>
      <c r="R690" s="9">
        <f>IF(OR(Q690="",G690=""),"",G690-Q690)</f>
        <v/>
      </c>
      <c r="S690" s="9">
        <f>IF(R690="","",SUMIFS($R$2:$R$1001,$A$2:$A$1001,A690,$E$2:$E$1001,"&lt;="&amp;E690))</f>
        <v/>
      </c>
      <c r="T690" s="5">
        <f>IF(A690="","",IF(R690="","initial",IF(ABS(R690)&lt;=ShiftThresholdDays,"unchanged",IF(R690&gt;0,"delayed","accelerated"))))</f>
        <v/>
      </c>
    </row>
    <row r="691">
      <c r="A691" s="2" t="n"/>
      <c r="B691" s="2" t="n"/>
      <c r="C691" s="2" t="n"/>
      <c r="D691" s="2" t="n"/>
      <c r="E691" s="2" t="n"/>
      <c r="F691" s="2" t="n"/>
      <c r="G691" s="3" t="n"/>
      <c r="H691" s="2" t="n"/>
      <c r="I691" s="3" t="n"/>
      <c r="J691" s="2" t="n"/>
      <c r="K691" s="2" t="n"/>
      <c r="L691" s="2" t="n"/>
      <c r="M691" s="2" t="n"/>
      <c r="N691" s="2" t="n"/>
      <c r="O691" s="2" t="n"/>
      <c r="P691" s="2" t="n"/>
      <c r="Q691" s="4">
        <f>IF(OR(A691="",E691=""),"",IF(MAXIFS($E$2:$E$1001,$A$2:$A$1001,A691,$E$2:$E$1001,"&lt;"&amp;E691)=0,"",SUMIFS($G$2:$G$1001,$A$2:$A$1001,A691,$E$2:$E$1001,MAXIFS($E$2:$E$1001,$A$2:$A$1001,A691,$E$2:$E$1001,"&lt;"&amp;E691))))</f>
        <v/>
      </c>
      <c r="R691" s="9">
        <f>IF(OR(Q691="",G691=""),"",G691-Q691)</f>
        <v/>
      </c>
      <c r="S691" s="9">
        <f>IF(R691="","",SUMIFS($R$2:$R$1001,$A$2:$A$1001,A691,$E$2:$E$1001,"&lt;="&amp;E691))</f>
        <v/>
      </c>
      <c r="T691" s="5">
        <f>IF(A691="","",IF(R691="","initial",IF(ABS(R691)&lt;=ShiftThresholdDays,"unchanged",IF(R691&gt;0,"delayed","accelerated"))))</f>
        <v/>
      </c>
    </row>
    <row r="692">
      <c r="A692" s="2" t="n"/>
      <c r="B692" s="2" t="n"/>
      <c r="C692" s="2" t="n"/>
      <c r="D692" s="2" t="n"/>
      <c r="E692" s="2" t="n"/>
      <c r="F692" s="2" t="n"/>
      <c r="G692" s="3" t="n"/>
      <c r="H692" s="2" t="n"/>
      <c r="I692" s="3" t="n"/>
      <c r="J692" s="2" t="n"/>
      <c r="K692" s="2" t="n"/>
      <c r="L692" s="2" t="n"/>
      <c r="M692" s="2" t="n"/>
      <c r="N692" s="2" t="n"/>
      <c r="O692" s="2" t="n"/>
      <c r="P692" s="2" t="n"/>
      <c r="Q692" s="4">
        <f>IF(OR(A692="",E692=""),"",IF(MAXIFS($E$2:$E$1001,$A$2:$A$1001,A692,$E$2:$E$1001,"&lt;"&amp;E692)=0,"",SUMIFS($G$2:$G$1001,$A$2:$A$1001,A692,$E$2:$E$1001,MAXIFS($E$2:$E$1001,$A$2:$A$1001,A692,$E$2:$E$1001,"&lt;"&amp;E692))))</f>
        <v/>
      </c>
      <c r="R692" s="9">
        <f>IF(OR(Q692="",G692=""),"",G692-Q692)</f>
        <v/>
      </c>
      <c r="S692" s="9">
        <f>IF(R692="","",SUMIFS($R$2:$R$1001,$A$2:$A$1001,A692,$E$2:$E$1001,"&lt;="&amp;E692))</f>
        <v/>
      </c>
      <c r="T692" s="5">
        <f>IF(A692="","",IF(R692="","initial",IF(ABS(R692)&lt;=ShiftThresholdDays,"unchanged",IF(R692&gt;0,"delayed","accelerated"))))</f>
        <v/>
      </c>
    </row>
    <row r="693">
      <c r="A693" s="2" t="n"/>
      <c r="B693" s="2" t="n"/>
      <c r="C693" s="2" t="n"/>
      <c r="D693" s="2" t="n"/>
      <c r="E693" s="2" t="n"/>
      <c r="F693" s="2" t="n"/>
      <c r="G693" s="3" t="n"/>
      <c r="H693" s="2" t="n"/>
      <c r="I693" s="3" t="n"/>
      <c r="J693" s="2" t="n"/>
      <c r="K693" s="2" t="n"/>
      <c r="L693" s="2" t="n"/>
      <c r="M693" s="2" t="n"/>
      <c r="N693" s="2" t="n"/>
      <c r="O693" s="2" t="n"/>
      <c r="P693" s="2" t="n"/>
      <c r="Q693" s="4">
        <f>IF(OR(A693="",E693=""),"",IF(MAXIFS($E$2:$E$1001,$A$2:$A$1001,A693,$E$2:$E$1001,"&lt;"&amp;E693)=0,"",SUMIFS($G$2:$G$1001,$A$2:$A$1001,A693,$E$2:$E$1001,MAXIFS($E$2:$E$1001,$A$2:$A$1001,A693,$E$2:$E$1001,"&lt;"&amp;E693))))</f>
        <v/>
      </c>
      <c r="R693" s="9">
        <f>IF(OR(Q693="",G693=""),"",G693-Q693)</f>
        <v/>
      </c>
      <c r="S693" s="9">
        <f>IF(R693="","",SUMIFS($R$2:$R$1001,$A$2:$A$1001,A693,$E$2:$E$1001,"&lt;="&amp;E693))</f>
        <v/>
      </c>
      <c r="T693" s="5">
        <f>IF(A693="","",IF(R693="","initial",IF(ABS(R693)&lt;=ShiftThresholdDays,"unchanged",IF(R693&gt;0,"delayed","accelerated"))))</f>
        <v/>
      </c>
    </row>
    <row r="694">
      <c r="A694" s="2" t="n"/>
      <c r="B694" s="2" t="n"/>
      <c r="C694" s="2" t="n"/>
      <c r="D694" s="2" t="n"/>
      <c r="E694" s="2" t="n"/>
      <c r="F694" s="2" t="n"/>
      <c r="G694" s="3" t="n"/>
      <c r="H694" s="2" t="n"/>
      <c r="I694" s="3" t="n"/>
      <c r="J694" s="2" t="n"/>
      <c r="K694" s="2" t="n"/>
      <c r="L694" s="2" t="n"/>
      <c r="M694" s="2" t="n"/>
      <c r="N694" s="2" t="n"/>
      <c r="O694" s="2" t="n"/>
      <c r="P694" s="2" t="n"/>
      <c r="Q694" s="4">
        <f>IF(OR(A694="",E694=""),"",IF(MAXIFS($E$2:$E$1001,$A$2:$A$1001,A694,$E$2:$E$1001,"&lt;"&amp;E694)=0,"",SUMIFS($G$2:$G$1001,$A$2:$A$1001,A694,$E$2:$E$1001,MAXIFS($E$2:$E$1001,$A$2:$A$1001,A694,$E$2:$E$1001,"&lt;"&amp;E694))))</f>
        <v/>
      </c>
      <c r="R694" s="9">
        <f>IF(OR(Q694="",G694=""),"",G694-Q694)</f>
        <v/>
      </c>
      <c r="S694" s="9">
        <f>IF(R694="","",SUMIFS($R$2:$R$1001,$A$2:$A$1001,A694,$E$2:$E$1001,"&lt;="&amp;E694))</f>
        <v/>
      </c>
      <c r="T694" s="5">
        <f>IF(A694="","",IF(R694="","initial",IF(ABS(R694)&lt;=ShiftThresholdDays,"unchanged",IF(R694&gt;0,"delayed","accelerated"))))</f>
        <v/>
      </c>
    </row>
    <row r="695">
      <c r="A695" s="2" t="n"/>
      <c r="B695" s="2" t="n"/>
      <c r="C695" s="2" t="n"/>
      <c r="D695" s="2" t="n"/>
      <c r="E695" s="2" t="n"/>
      <c r="F695" s="2" t="n"/>
      <c r="G695" s="3" t="n"/>
      <c r="H695" s="2" t="n"/>
      <c r="I695" s="3" t="n"/>
      <c r="J695" s="2" t="n"/>
      <c r="K695" s="2" t="n"/>
      <c r="L695" s="2" t="n"/>
      <c r="M695" s="2" t="n"/>
      <c r="N695" s="2" t="n"/>
      <c r="O695" s="2" t="n"/>
      <c r="P695" s="2" t="n"/>
      <c r="Q695" s="4">
        <f>IF(OR(A695="",E695=""),"",IF(MAXIFS($E$2:$E$1001,$A$2:$A$1001,A695,$E$2:$E$1001,"&lt;"&amp;E695)=0,"",SUMIFS($G$2:$G$1001,$A$2:$A$1001,A695,$E$2:$E$1001,MAXIFS($E$2:$E$1001,$A$2:$A$1001,A695,$E$2:$E$1001,"&lt;"&amp;E695))))</f>
        <v/>
      </c>
      <c r="R695" s="9">
        <f>IF(OR(Q695="",G695=""),"",G695-Q695)</f>
        <v/>
      </c>
      <c r="S695" s="9">
        <f>IF(R695="","",SUMIFS($R$2:$R$1001,$A$2:$A$1001,A695,$E$2:$E$1001,"&lt;="&amp;E695))</f>
        <v/>
      </c>
      <c r="T695" s="5">
        <f>IF(A695="","",IF(R695="","initial",IF(ABS(R695)&lt;=ShiftThresholdDays,"unchanged",IF(R695&gt;0,"delayed","accelerated"))))</f>
        <v/>
      </c>
    </row>
    <row r="696">
      <c r="A696" s="2" t="n"/>
      <c r="B696" s="2" t="n"/>
      <c r="C696" s="2" t="n"/>
      <c r="D696" s="2" t="n"/>
      <c r="E696" s="2" t="n"/>
      <c r="F696" s="2" t="n"/>
      <c r="G696" s="3" t="n"/>
      <c r="H696" s="2" t="n"/>
      <c r="I696" s="3" t="n"/>
      <c r="J696" s="2" t="n"/>
      <c r="K696" s="2" t="n"/>
      <c r="L696" s="2" t="n"/>
      <c r="M696" s="2" t="n"/>
      <c r="N696" s="2" t="n"/>
      <c r="O696" s="2" t="n"/>
      <c r="P696" s="2" t="n"/>
      <c r="Q696" s="4">
        <f>IF(OR(A696="",E696=""),"",IF(MAXIFS($E$2:$E$1001,$A$2:$A$1001,A696,$E$2:$E$1001,"&lt;"&amp;E696)=0,"",SUMIFS($G$2:$G$1001,$A$2:$A$1001,A696,$E$2:$E$1001,MAXIFS($E$2:$E$1001,$A$2:$A$1001,A696,$E$2:$E$1001,"&lt;"&amp;E696))))</f>
        <v/>
      </c>
      <c r="R696" s="9">
        <f>IF(OR(Q696="",G696=""),"",G696-Q696)</f>
        <v/>
      </c>
      <c r="S696" s="9">
        <f>IF(R696="","",SUMIFS($R$2:$R$1001,$A$2:$A$1001,A696,$E$2:$E$1001,"&lt;="&amp;E696))</f>
        <v/>
      </c>
      <c r="T696" s="5">
        <f>IF(A696="","",IF(R696="","initial",IF(ABS(R696)&lt;=ShiftThresholdDays,"unchanged",IF(R696&gt;0,"delayed","accelerated"))))</f>
        <v/>
      </c>
    </row>
    <row r="697">
      <c r="A697" s="2" t="n"/>
      <c r="B697" s="2" t="n"/>
      <c r="C697" s="2" t="n"/>
      <c r="D697" s="2" t="n"/>
      <c r="E697" s="2" t="n"/>
      <c r="F697" s="2" t="n"/>
      <c r="G697" s="3" t="n"/>
      <c r="H697" s="2" t="n"/>
      <c r="I697" s="3" t="n"/>
      <c r="J697" s="2" t="n"/>
      <c r="K697" s="2" t="n"/>
      <c r="L697" s="2" t="n"/>
      <c r="M697" s="2" t="n"/>
      <c r="N697" s="2" t="n"/>
      <c r="O697" s="2" t="n"/>
      <c r="P697" s="2" t="n"/>
      <c r="Q697" s="4">
        <f>IF(OR(A697="",E697=""),"",IF(MAXIFS($E$2:$E$1001,$A$2:$A$1001,A697,$E$2:$E$1001,"&lt;"&amp;E697)=0,"",SUMIFS($G$2:$G$1001,$A$2:$A$1001,A697,$E$2:$E$1001,MAXIFS($E$2:$E$1001,$A$2:$A$1001,A697,$E$2:$E$1001,"&lt;"&amp;E697))))</f>
        <v/>
      </c>
      <c r="R697" s="9">
        <f>IF(OR(Q697="",G697=""),"",G697-Q697)</f>
        <v/>
      </c>
      <c r="S697" s="9">
        <f>IF(R697="","",SUMIFS($R$2:$R$1001,$A$2:$A$1001,A697,$E$2:$E$1001,"&lt;="&amp;E697))</f>
        <v/>
      </c>
      <c r="T697" s="5">
        <f>IF(A697="","",IF(R697="","initial",IF(ABS(R697)&lt;=ShiftThresholdDays,"unchanged",IF(R697&gt;0,"delayed","accelerated"))))</f>
        <v/>
      </c>
    </row>
    <row r="698">
      <c r="A698" s="2" t="n"/>
      <c r="B698" s="2" t="n"/>
      <c r="C698" s="2" t="n"/>
      <c r="D698" s="2" t="n"/>
      <c r="E698" s="2" t="n"/>
      <c r="F698" s="2" t="n"/>
      <c r="G698" s="3" t="n"/>
      <c r="H698" s="2" t="n"/>
      <c r="I698" s="3" t="n"/>
      <c r="J698" s="2" t="n"/>
      <c r="K698" s="2" t="n"/>
      <c r="L698" s="2" t="n"/>
      <c r="M698" s="2" t="n"/>
      <c r="N698" s="2" t="n"/>
      <c r="O698" s="2" t="n"/>
      <c r="P698" s="2" t="n"/>
      <c r="Q698" s="4">
        <f>IF(OR(A698="",E698=""),"",IF(MAXIFS($E$2:$E$1001,$A$2:$A$1001,A698,$E$2:$E$1001,"&lt;"&amp;E698)=0,"",SUMIFS($G$2:$G$1001,$A$2:$A$1001,A698,$E$2:$E$1001,MAXIFS($E$2:$E$1001,$A$2:$A$1001,A698,$E$2:$E$1001,"&lt;"&amp;E698))))</f>
        <v/>
      </c>
      <c r="R698" s="9">
        <f>IF(OR(Q698="",G698=""),"",G698-Q698)</f>
        <v/>
      </c>
      <c r="S698" s="9">
        <f>IF(R698="","",SUMIFS($R$2:$R$1001,$A$2:$A$1001,A698,$E$2:$E$1001,"&lt;="&amp;E698))</f>
        <v/>
      </c>
      <c r="T698" s="5">
        <f>IF(A698="","",IF(R698="","initial",IF(ABS(R698)&lt;=ShiftThresholdDays,"unchanged",IF(R698&gt;0,"delayed","accelerated"))))</f>
        <v/>
      </c>
    </row>
    <row r="699">
      <c r="A699" s="2" t="n"/>
      <c r="B699" s="2" t="n"/>
      <c r="C699" s="2" t="n"/>
      <c r="D699" s="2" t="n"/>
      <c r="E699" s="2" t="n"/>
      <c r="F699" s="2" t="n"/>
      <c r="G699" s="3" t="n"/>
      <c r="H699" s="2" t="n"/>
      <c r="I699" s="3" t="n"/>
      <c r="J699" s="2" t="n"/>
      <c r="K699" s="2" t="n"/>
      <c r="L699" s="2" t="n"/>
      <c r="M699" s="2" t="n"/>
      <c r="N699" s="2" t="n"/>
      <c r="O699" s="2" t="n"/>
      <c r="P699" s="2" t="n"/>
      <c r="Q699" s="4">
        <f>IF(OR(A699="",E699=""),"",IF(MAXIFS($E$2:$E$1001,$A$2:$A$1001,A699,$E$2:$E$1001,"&lt;"&amp;E699)=0,"",SUMIFS($G$2:$G$1001,$A$2:$A$1001,A699,$E$2:$E$1001,MAXIFS($E$2:$E$1001,$A$2:$A$1001,A699,$E$2:$E$1001,"&lt;"&amp;E699))))</f>
        <v/>
      </c>
      <c r="R699" s="9">
        <f>IF(OR(Q699="",G699=""),"",G699-Q699)</f>
        <v/>
      </c>
      <c r="S699" s="9">
        <f>IF(R699="","",SUMIFS($R$2:$R$1001,$A$2:$A$1001,A699,$E$2:$E$1001,"&lt;="&amp;E699))</f>
        <v/>
      </c>
      <c r="T699" s="5">
        <f>IF(A699="","",IF(R699="","initial",IF(ABS(R699)&lt;=ShiftThresholdDays,"unchanged",IF(R699&gt;0,"delayed","accelerated"))))</f>
        <v/>
      </c>
    </row>
    <row r="700">
      <c r="A700" s="2" t="n"/>
      <c r="B700" s="2" t="n"/>
      <c r="C700" s="2" t="n"/>
      <c r="D700" s="2" t="n"/>
      <c r="E700" s="2" t="n"/>
      <c r="F700" s="2" t="n"/>
      <c r="G700" s="3" t="n"/>
      <c r="H700" s="2" t="n"/>
      <c r="I700" s="3" t="n"/>
      <c r="J700" s="2" t="n"/>
      <c r="K700" s="2" t="n"/>
      <c r="L700" s="2" t="n"/>
      <c r="M700" s="2" t="n"/>
      <c r="N700" s="2" t="n"/>
      <c r="O700" s="2" t="n"/>
      <c r="P700" s="2" t="n"/>
      <c r="Q700" s="4">
        <f>IF(OR(A700="",E700=""),"",IF(MAXIFS($E$2:$E$1001,$A$2:$A$1001,A700,$E$2:$E$1001,"&lt;"&amp;E700)=0,"",SUMIFS($G$2:$G$1001,$A$2:$A$1001,A700,$E$2:$E$1001,MAXIFS($E$2:$E$1001,$A$2:$A$1001,A700,$E$2:$E$1001,"&lt;"&amp;E700))))</f>
        <v/>
      </c>
      <c r="R700" s="9">
        <f>IF(OR(Q700="",G700=""),"",G700-Q700)</f>
        <v/>
      </c>
      <c r="S700" s="9">
        <f>IF(R700="","",SUMIFS($R$2:$R$1001,$A$2:$A$1001,A700,$E$2:$E$1001,"&lt;="&amp;E700))</f>
        <v/>
      </c>
      <c r="T700" s="5">
        <f>IF(A700="","",IF(R700="","initial",IF(ABS(R700)&lt;=ShiftThresholdDays,"unchanged",IF(R700&gt;0,"delayed","accelerated"))))</f>
        <v/>
      </c>
    </row>
    <row r="701">
      <c r="A701" s="2" t="n"/>
      <c r="B701" s="2" t="n"/>
      <c r="C701" s="2" t="n"/>
      <c r="D701" s="2" t="n"/>
      <c r="E701" s="2" t="n"/>
      <c r="F701" s="2" t="n"/>
      <c r="G701" s="3" t="n"/>
      <c r="H701" s="2" t="n"/>
      <c r="I701" s="3" t="n"/>
      <c r="J701" s="2" t="n"/>
      <c r="K701" s="2" t="n"/>
      <c r="L701" s="2" t="n"/>
      <c r="M701" s="2" t="n"/>
      <c r="N701" s="2" t="n"/>
      <c r="O701" s="2" t="n"/>
      <c r="P701" s="2" t="n"/>
      <c r="Q701" s="4">
        <f>IF(OR(A701="",E701=""),"",IF(MAXIFS($E$2:$E$1001,$A$2:$A$1001,A701,$E$2:$E$1001,"&lt;"&amp;E701)=0,"",SUMIFS($G$2:$G$1001,$A$2:$A$1001,A701,$E$2:$E$1001,MAXIFS($E$2:$E$1001,$A$2:$A$1001,A701,$E$2:$E$1001,"&lt;"&amp;E701))))</f>
        <v/>
      </c>
      <c r="R701" s="9">
        <f>IF(OR(Q701="",G701=""),"",G701-Q701)</f>
        <v/>
      </c>
      <c r="S701" s="9">
        <f>IF(R701="","",SUMIFS($R$2:$R$1001,$A$2:$A$1001,A701,$E$2:$E$1001,"&lt;="&amp;E701))</f>
        <v/>
      </c>
      <c r="T701" s="5">
        <f>IF(A701="","",IF(R701="","initial",IF(ABS(R701)&lt;=ShiftThresholdDays,"unchanged",IF(R701&gt;0,"delayed","accelerated"))))</f>
        <v/>
      </c>
    </row>
    <row r="702">
      <c r="A702" s="2" t="n"/>
      <c r="B702" s="2" t="n"/>
      <c r="C702" s="2" t="n"/>
      <c r="D702" s="2" t="n"/>
      <c r="E702" s="2" t="n"/>
      <c r="F702" s="2" t="n"/>
      <c r="G702" s="3" t="n"/>
      <c r="H702" s="2" t="n"/>
      <c r="I702" s="3" t="n"/>
      <c r="J702" s="2" t="n"/>
      <c r="K702" s="2" t="n"/>
      <c r="L702" s="2" t="n"/>
      <c r="M702" s="2" t="n"/>
      <c r="N702" s="2" t="n"/>
      <c r="O702" s="2" t="n"/>
      <c r="P702" s="2" t="n"/>
      <c r="Q702" s="4">
        <f>IF(OR(A702="",E702=""),"",IF(MAXIFS($E$2:$E$1001,$A$2:$A$1001,A702,$E$2:$E$1001,"&lt;"&amp;E702)=0,"",SUMIFS($G$2:$G$1001,$A$2:$A$1001,A702,$E$2:$E$1001,MAXIFS($E$2:$E$1001,$A$2:$A$1001,A702,$E$2:$E$1001,"&lt;"&amp;E702))))</f>
        <v/>
      </c>
      <c r="R702" s="9">
        <f>IF(OR(Q702="",G702=""),"",G702-Q702)</f>
        <v/>
      </c>
      <c r="S702" s="9">
        <f>IF(R702="","",SUMIFS($R$2:$R$1001,$A$2:$A$1001,A702,$E$2:$E$1001,"&lt;="&amp;E702))</f>
        <v/>
      </c>
      <c r="T702" s="5">
        <f>IF(A702="","",IF(R702="","initial",IF(ABS(R702)&lt;=ShiftThresholdDays,"unchanged",IF(R702&gt;0,"delayed","accelerated"))))</f>
        <v/>
      </c>
    </row>
    <row r="703">
      <c r="A703" s="2" t="n"/>
      <c r="B703" s="2" t="n"/>
      <c r="C703" s="2" t="n"/>
      <c r="D703" s="2" t="n"/>
      <c r="E703" s="2" t="n"/>
      <c r="F703" s="2" t="n"/>
      <c r="G703" s="3" t="n"/>
      <c r="H703" s="2" t="n"/>
      <c r="I703" s="3" t="n"/>
      <c r="J703" s="2" t="n"/>
      <c r="K703" s="2" t="n"/>
      <c r="L703" s="2" t="n"/>
      <c r="M703" s="2" t="n"/>
      <c r="N703" s="2" t="n"/>
      <c r="O703" s="2" t="n"/>
      <c r="P703" s="2" t="n"/>
      <c r="Q703" s="4">
        <f>IF(OR(A703="",E703=""),"",IF(MAXIFS($E$2:$E$1001,$A$2:$A$1001,A703,$E$2:$E$1001,"&lt;"&amp;E703)=0,"",SUMIFS($G$2:$G$1001,$A$2:$A$1001,A703,$E$2:$E$1001,MAXIFS($E$2:$E$1001,$A$2:$A$1001,A703,$E$2:$E$1001,"&lt;"&amp;E703))))</f>
        <v/>
      </c>
      <c r="R703" s="9">
        <f>IF(OR(Q703="",G703=""),"",G703-Q703)</f>
        <v/>
      </c>
      <c r="S703" s="9">
        <f>IF(R703="","",SUMIFS($R$2:$R$1001,$A$2:$A$1001,A703,$E$2:$E$1001,"&lt;="&amp;E703))</f>
        <v/>
      </c>
      <c r="T703" s="5">
        <f>IF(A703="","",IF(R703="","initial",IF(ABS(R703)&lt;=ShiftThresholdDays,"unchanged",IF(R703&gt;0,"delayed","accelerated"))))</f>
        <v/>
      </c>
    </row>
    <row r="704">
      <c r="A704" s="2" t="n"/>
      <c r="B704" s="2" t="n"/>
      <c r="C704" s="2" t="n"/>
      <c r="D704" s="2" t="n"/>
      <c r="E704" s="2" t="n"/>
      <c r="F704" s="2" t="n"/>
      <c r="G704" s="3" t="n"/>
      <c r="H704" s="2" t="n"/>
      <c r="I704" s="3" t="n"/>
      <c r="J704" s="2" t="n"/>
      <c r="K704" s="2" t="n"/>
      <c r="L704" s="2" t="n"/>
      <c r="M704" s="2" t="n"/>
      <c r="N704" s="2" t="n"/>
      <c r="O704" s="2" t="n"/>
      <c r="P704" s="2" t="n"/>
      <c r="Q704" s="4">
        <f>IF(OR(A704="",E704=""),"",IF(MAXIFS($E$2:$E$1001,$A$2:$A$1001,A704,$E$2:$E$1001,"&lt;"&amp;E704)=0,"",SUMIFS($G$2:$G$1001,$A$2:$A$1001,A704,$E$2:$E$1001,MAXIFS($E$2:$E$1001,$A$2:$A$1001,A704,$E$2:$E$1001,"&lt;"&amp;E704))))</f>
        <v/>
      </c>
      <c r="R704" s="9">
        <f>IF(OR(Q704="",G704=""),"",G704-Q704)</f>
        <v/>
      </c>
      <c r="S704" s="9">
        <f>IF(R704="","",SUMIFS($R$2:$R$1001,$A$2:$A$1001,A704,$E$2:$E$1001,"&lt;="&amp;E704))</f>
        <v/>
      </c>
      <c r="T704" s="5">
        <f>IF(A704="","",IF(R704="","initial",IF(ABS(R704)&lt;=ShiftThresholdDays,"unchanged",IF(R704&gt;0,"delayed","accelerated"))))</f>
        <v/>
      </c>
    </row>
    <row r="705">
      <c r="A705" s="2" t="n"/>
      <c r="B705" s="2" t="n"/>
      <c r="C705" s="2" t="n"/>
      <c r="D705" s="2" t="n"/>
      <c r="E705" s="2" t="n"/>
      <c r="F705" s="2" t="n"/>
      <c r="G705" s="3" t="n"/>
      <c r="H705" s="2" t="n"/>
      <c r="I705" s="3" t="n"/>
      <c r="J705" s="2" t="n"/>
      <c r="K705" s="2" t="n"/>
      <c r="L705" s="2" t="n"/>
      <c r="M705" s="2" t="n"/>
      <c r="N705" s="2" t="n"/>
      <c r="O705" s="2" t="n"/>
      <c r="P705" s="2" t="n"/>
      <c r="Q705" s="4">
        <f>IF(OR(A705="",E705=""),"",IF(MAXIFS($E$2:$E$1001,$A$2:$A$1001,A705,$E$2:$E$1001,"&lt;"&amp;E705)=0,"",SUMIFS($G$2:$G$1001,$A$2:$A$1001,A705,$E$2:$E$1001,MAXIFS($E$2:$E$1001,$A$2:$A$1001,A705,$E$2:$E$1001,"&lt;"&amp;E705))))</f>
        <v/>
      </c>
      <c r="R705" s="9">
        <f>IF(OR(Q705="",G705=""),"",G705-Q705)</f>
        <v/>
      </c>
      <c r="S705" s="9">
        <f>IF(R705="","",SUMIFS($R$2:$R$1001,$A$2:$A$1001,A705,$E$2:$E$1001,"&lt;="&amp;E705))</f>
        <v/>
      </c>
      <c r="T705" s="5">
        <f>IF(A705="","",IF(R705="","initial",IF(ABS(R705)&lt;=ShiftThresholdDays,"unchanged",IF(R705&gt;0,"delayed","accelerated"))))</f>
        <v/>
      </c>
    </row>
    <row r="706">
      <c r="A706" s="2" t="n"/>
      <c r="B706" s="2" t="n"/>
      <c r="C706" s="2" t="n"/>
      <c r="D706" s="2" t="n"/>
      <c r="E706" s="2" t="n"/>
      <c r="F706" s="2" t="n"/>
      <c r="G706" s="3" t="n"/>
      <c r="H706" s="2" t="n"/>
      <c r="I706" s="3" t="n"/>
      <c r="J706" s="2" t="n"/>
      <c r="K706" s="2" t="n"/>
      <c r="L706" s="2" t="n"/>
      <c r="M706" s="2" t="n"/>
      <c r="N706" s="2" t="n"/>
      <c r="O706" s="2" t="n"/>
      <c r="P706" s="2" t="n"/>
      <c r="Q706" s="4">
        <f>IF(OR(A706="",E706=""),"",IF(MAXIFS($E$2:$E$1001,$A$2:$A$1001,A706,$E$2:$E$1001,"&lt;"&amp;E706)=0,"",SUMIFS($G$2:$G$1001,$A$2:$A$1001,A706,$E$2:$E$1001,MAXIFS($E$2:$E$1001,$A$2:$A$1001,A706,$E$2:$E$1001,"&lt;"&amp;E706))))</f>
        <v/>
      </c>
      <c r="R706" s="9">
        <f>IF(OR(Q706="",G706=""),"",G706-Q706)</f>
        <v/>
      </c>
      <c r="S706" s="9">
        <f>IF(R706="","",SUMIFS($R$2:$R$1001,$A$2:$A$1001,A706,$E$2:$E$1001,"&lt;="&amp;E706))</f>
        <v/>
      </c>
      <c r="T706" s="5">
        <f>IF(A706="","",IF(R706="","initial",IF(ABS(R706)&lt;=ShiftThresholdDays,"unchanged",IF(R706&gt;0,"delayed","accelerated"))))</f>
        <v/>
      </c>
    </row>
    <row r="707">
      <c r="A707" s="2" t="n"/>
      <c r="B707" s="2" t="n"/>
      <c r="C707" s="2" t="n"/>
      <c r="D707" s="2" t="n"/>
      <c r="E707" s="2" t="n"/>
      <c r="F707" s="2" t="n"/>
      <c r="G707" s="3" t="n"/>
      <c r="H707" s="2" t="n"/>
      <c r="I707" s="3" t="n"/>
      <c r="J707" s="2" t="n"/>
      <c r="K707" s="2" t="n"/>
      <c r="L707" s="2" t="n"/>
      <c r="M707" s="2" t="n"/>
      <c r="N707" s="2" t="n"/>
      <c r="O707" s="2" t="n"/>
      <c r="P707" s="2" t="n"/>
      <c r="Q707" s="4">
        <f>IF(OR(A707="",E707=""),"",IF(MAXIFS($E$2:$E$1001,$A$2:$A$1001,A707,$E$2:$E$1001,"&lt;"&amp;E707)=0,"",SUMIFS($G$2:$G$1001,$A$2:$A$1001,A707,$E$2:$E$1001,MAXIFS($E$2:$E$1001,$A$2:$A$1001,A707,$E$2:$E$1001,"&lt;"&amp;E707))))</f>
        <v/>
      </c>
      <c r="R707" s="9">
        <f>IF(OR(Q707="",G707=""),"",G707-Q707)</f>
        <v/>
      </c>
      <c r="S707" s="9">
        <f>IF(R707="","",SUMIFS($R$2:$R$1001,$A$2:$A$1001,A707,$E$2:$E$1001,"&lt;="&amp;E707))</f>
        <v/>
      </c>
      <c r="T707" s="5">
        <f>IF(A707="","",IF(R707="","initial",IF(ABS(R707)&lt;=ShiftThresholdDays,"unchanged",IF(R707&gt;0,"delayed","accelerated"))))</f>
        <v/>
      </c>
    </row>
    <row r="708">
      <c r="A708" s="2" t="n"/>
      <c r="B708" s="2" t="n"/>
      <c r="C708" s="2" t="n"/>
      <c r="D708" s="2" t="n"/>
      <c r="E708" s="2" t="n"/>
      <c r="F708" s="2" t="n"/>
      <c r="G708" s="3" t="n"/>
      <c r="H708" s="2" t="n"/>
      <c r="I708" s="3" t="n"/>
      <c r="J708" s="2" t="n"/>
      <c r="K708" s="2" t="n"/>
      <c r="L708" s="2" t="n"/>
      <c r="M708" s="2" t="n"/>
      <c r="N708" s="2" t="n"/>
      <c r="O708" s="2" t="n"/>
      <c r="P708" s="2" t="n"/>
      <c r="Q708" s="4">
        <f>IF(OR(A708="",E708=""),"",IF(MAXIFS($E$2:$E$1001,$A$2:$A$1001,A708,$E$2:$E$1001,"&lt;"&amp;E708)=0,"",SUMIFS($G$2:$G$1001,$A$2:$A$1001,A708,$E$2:$E$1001,MAXIFS($E$2:$E$1001,$A$2:$A$1001,A708,$E$2:$E$1001,"&lt;"&amp;E708))))</f>
        <v/>
      </c>
      <c r="R708" s="9">
        <f>IF(OR(Q708="",G708=""),"",G708-Q708)</f>
        <v/>
      </c>
      <c r="S708" s="9">
        <f>IF(R708="","",SUMIFS($R$2:$R$1001,$A$2:$A$1001,A708,$E$2:$E$1001,"&lt;="&amp;E708))</f>
        <v/>
      </c>
      <c r="T708" s="5">
        <f>IF(A708="","",IF(R708="","initial",IF(ABS(R708)&lt;=ShiftThresholdDays,"unchanged",IF(R708&gt;0,"delayed","accelerated"))))</f>
        <v/>
      </c>
    </row>
    <row r="709">
      <c r="A709" s="2" t="n"/>
      <c r="B709" s="2" t="n"/>
      <c r="C709" s="2" t="n"/>
      <c r="D709" s="2" t="n"/>
      <c r="E709" s="2" t="n"/>
      <c r="F709" s="2" t="n"/>
      <c r="G709" s="3" t="n"/>
      <c r="H709" s="2" t="n"/>
      <c r="I709" s="3" t="n"/>
      <c r="J709" s="2" t="n"/>
      <c r="K709" s="2" t="n"/>
      <c r="L709" s="2" t="n"/>
      <c r="M709" s="2" t="n"/>
      <c r="N709" s="2" t="n"/>
      <c r="O709" s="2" t="n"/>
      <c r="P709" s="2" t="n"/>
      <c r="Q709" s="4">
        <f>IF(OR(A709="",E709=""),"",IF(MAXIFS($E$2:$E$1001,$A$2:$A$1001,A709,$E$2:$E$1001,"&lt;"&amp;E709)=0,"",SUMIFS($G$2:$G$1001,$A$2:$A$1001,A709,$E$2:$E$1001,MAXIFS($E$2:$E$1001,$A$2:$A$1001,A709,$E$2:$E$1001,"&lt;"&amp;E709))))</f>
        <v/>
      </c>
      <c r="R709" s="9">
        <f>IF(OR(Q709="",G709=""),"",G709-Q709)</f>
        <v/>
      </c>
      <c r="S709" s="9">
        <f>IF(R709="","",SUMIFS($R$2:$R$1001,$A$2:$A$1001,A709,$E$2:$E$1001,"&lt;="&amp;E709))</f>
        <v/>
      </c>
      <c r="T709" s="5">
        <f>IF(A709="","",IF(R709="","initial",IF(ABS(R709)&lt;=ShiftThresholdDays,"unchanged",IF(R709&gt;0,"delayed","accelerated"))))</f>
        <v/>
      </c>
    </row>
    <row r="710">
      <c r="A710" s="2" t="n"/>
      <c r="B710" s="2" t="n"/>
      <c r="C710" s="2" t="n"/>
      <c r="D710" s="2" t="n"/>
      <c r="E710" s="2" t="n"/>
      <c r="F710" s="2" t="n"/>
      <c r="G710" s="3" t="n"/>
      <c r="H710" s="2" t="n"/>
      <c r="I710" s="3" t="n"/>
      <c r="J710" s="2" t="n"/>
      <c r="K710" s="2" t="n"/>
      <c r="L710" s="2" t="n"/>
      <c r="M710" s="2" t="n"/>
      <c r="N710" s="2" t="n"/>
      <c r="O710" s="2" t="n"/>
      <c r="P710" s="2" t="n"/>
      <c r="Q710" s="4">
        <f>IF(OR(A710="",E710=""),"",IF(MAXIFS($E$2:$E$1001,$A$2:$A$1001,A710,$E$2:$E$1001,"&lt;"&amp;E710)=0,"",SUMIFS($G$2:$G$1001,$A$2:$A$1001,A710,$E$2:$E$1001,MAXIFS($E$2:$E$1001,$A$2:$A$1001,A710,$E$2:$E$1001,"&lt;"&amp;E710))))</f>
        <v/>
      </c>
      <c r="R710" s="9">
        <f>IF(OR(Q710="",G710=""),"",G710-Q710)</f>
        <v/>
      </c>
      <c r="S710" s="9">
        <f>IF(R710="","",SUMIFS($R$2:$R$1001,$A$2:$A$1001,A710,$E$2:$E$1001,"&lt;="&amp;E710))</f>
        <v/>
      </c>
      <c r="T710" s="5">
        <f>IF(A710="","",IF(R710="","initial",IF(ABS(R710)&lt;=ShiftThresholdDays,"unchanged",IF(R710&gt;0,"delayed","accelerated"))))</f>
        <v/>
      </c>
    </row>
    <row r="711">
      <c r="A711" s="2" t="n"/>
      <c r="B711" s="2" t="n"/>
      <c r="C711" s="2" t="n"/>
      <c r="D711" s="2" t="n"/>
      <c r="E711" s="2" t="n"/>
      <c r="F711" s="2" t="n"/>
      <c r="G711" s="3" t="n"/>
      <c r="H711" s="2" t="n"/>
      <c r="I711" s="3" t="n"/>
      <c r="J711" s="2" t="n"/>
      <c r="K711" s="2" t="n"/>
      <c r="L711" s="2" t="n"/>
      <c r="M711" s="2" t="n"/>
      <c r="N711" s="2" t="n"/>
      <c r="O711" s="2" t="n"/>
      <c r="P711" s="2" t="n"/>
      <c r="Q711" s="4">
        <f>IF(OR(A711="",E711=""),"",IF(MAXIFS($E$2:$E$1001,$A$2:$A$1001,A711,$E$2:$E$1001,"&lt;"&amp;E711)=0,"",SUMIFS($G$2:$G$1001,$A$2:$A$1001,A711,$E$2:$E$1001,MAXIFS($E$2:$E$1001,$A$2:$A$1001,A711,$E$2:$E$1001,"&lt;"&amp;E711))))</f>
        <v/>
      </c>
      <c r="R711" s="9">
        <f>IF(OR(Q711="",G711=""),"",G711-Q711)</f>
        <v/>
      </c>
      <c r="S711" s="9">
        <f>IF(R711="","",SUMIFS($R$2:$R$1001,$A$2:$A$1001,A711,$E$2:$E$1001,"&lt;="&amp;E711))</f>
        <v/>
      </c>
      <c r="T711" s="5">
        <f>IF(A711="","",IF(R711="","initial",IF(ABS(R711)&lt;=ShiftThresholdDays,"unchanged",IF(R711&gt;0,"delayed","accelerated"))))</f>
        <v/>
      </c>
    </row>
    <row r="712">
      <c r="A712" s="2" t="n"/>
      <c r="B712" s="2" t="n"/>
      <c r="C712" s="2" t="n"/>
      <c r="D712" s="2" t="n"/>
      <c r="E712" s="2" t="n"/>
      <c r="F712" s="2" t="n"/>
      <c r="G712" s="3" t="n"/>
      <c r="H712" s="2" t="n"/>
      <c r="I712" s="3" t="n"/>
      <c r="J712" s="2" t="n"/>
      <c r="K712" s="2" t="n"/>
      <c r="L712" s="2" t="n"/>
      <c r="M712" s="2" t="n"/>
      <c r="N712" s="2" t="n"/>
      <c r="O712" s="2" t="n"/>
      <c r="P712" s="2" t="n"/>
      <c r="Q712" s="4">
        <f>IF(OR(A712="",E712=""),"",IF(MAXIFS($E$2:$E$1001,$A$2:$A$1001,A712,$E$2:$E$1001,"&lt;"&amp;E712)=0,"",SUMIFS($G$2:$G$1001,$A$2:$A$1001,A712,$E$2:$E$1001,MAXIFS($E$2:$E$1001,$A$2:$A$1001,A712,$E$2:$E$1001,"&lt;"&amp;E712))))</f>
        <v/>
      </c>
      <c r="R712" s="9">
        <f>IF(OR(Q712="",G712=""),"",G712-Q712)</f>
        <v/>
      </c>
      <c r="S712" s="9">
        <f>IF(R712="","",SUMIFS($R$2:$R$1001,$A$2:$A$1001,A712,$E$2:$E$1001,"&lt;="&amp;E712))</f>
        <v/>
      </c>
      <c r="T712" s="5">
        <f>IF(A712="","",IF(R712="","initial",IF(ABS(R712)&lt;=ShiftThresholdDays,"unchanged",IF(R712&gt;0,"delayed","accelerated"))))</f>
        <v/>
      </c>
    </row>
    <row r="713">
      <c r="A713" s="2" t="n"/>
      <c r="B713" s="2" t="n"/>
      <c r="C713" s="2" t="n"/>
      <c r="D713" s="2" t="n"/>
      <c r="E713" s="2" t="n"/>
      <c r="F713" s="2" t="n"/>
      <c r="G713" s="3" t="n"/>
      <c r="H713" s="2" t="n"/>
      <c r="I713" s="3" t="n"/>
      <c r="J713" s="2" t="n"/>
      <c r="K713" s="2" t="n"/>
      <c r="L713" s="2" t="n"/>
      <c r="M713" s="2" t="n"/>
      <c r="N713" s="2" t="n"/>
      <c r="O713" s="2" t="n"/>
      <c r="P713" s="2" t="n"/>
      <c r="Q713" s="4">
        <f>IF(OR(A713="",E713=""),"",IF(MAXIFS($E$2:$E$1001,$A$2:$A$1001,A713,$E$2:$E$1001,"&lt;"&amp;E713)=0,"",SUMIFS($G$2:$G$1001,$A$2:$A$1001,A713,$E$2:$E$1001,MAXIFS($E$2:$E$1001,$A$2:$A$1001,A713,$E$2:$E$1001,"&lt;"&amp;E713))))</f>
        <v/>
      </c>
      <c r="R713" s="9">
        <f>IF(OR(Q713="",G713=""),"",G713-Q713)</f>
        <v/>
      </c>
      <c r="S713" s="9">
        <f>IF(R713="","",SUMIFS($R$2:$R$1001,$A$2:$A$1001,A713,$E$2:$E$1001,"&lt;="&amp;E713))</f>
        <v/>
      </c>
      <c r="T713" s="5">
        <f>IF(A713="","",IF(R713="","initial",IF(ABS(R713)&lt;=ShiftThresholdDays,"unchanged",IF(R713&gt;0,"delayed","accelerated"))))</f>
        <v/>
      </c>
    </row>
    <row r="714">
      <c r="A714" s="2" t="n"/>
      <c r="B714" s="2" t="n"/>
      <c r="C714" s="2" t="n"/>
      <c r="D714" s="2" t="n"/>
      <c r="E714" s="2" t="n"/>
      <c r="F714" s="2" t="n"/>
      <c r="G714" s="3" t="n"/>
      <c r="H714" s="2" t="n"/>
      <c r="I714" s="3" t="n"/>
      <c r="J714" s="2" t="n"/>
      <c r="K714" s="2" t="n"/>
      <c r="L714" s="2" t="n"/>
      <c r="M714" s="2" t="n"/>
      <c r="N714" s="2" t="n"/>
      <c r="O714" s="2" t="n"/>
      <c r="P714" s="2" t="n"/>
      <c r="Q714" s="4">
        <f>IF(OR(A714="",E714=""),"",IF(MAXIFS($E$2:$E$1001,$A$2:$A$1001,A714,$E$2:$E$1001,"&lt;"&amp;E714)=0,"",SUMIFS($G$2:$G$1001,$A$2:$A$1001,A714,$E$2:$E$1001,MAXIFS($E$2:$E$1001,$A$2:$A$1001,A714,$E$2:$E$1001,"&lt;"&amp;E714))))</f>
        <v/>
      </c>
      <c r="R714" s="9">
        <f>IF(OR(Q714="",G714=""),"",G714-Q714)</f>
        <v/>
      </c>
      <c r="S714" s="9">
        <f>IF(R714="","",SUMIFS($R$2:$R$1001,$A$2:$A$1001,A714,$E$2:$E$1001,"&lt;="&amp;E714))</f>
        <v/>
      </c>
      <c r="T714" s="5">
        <f>IF(A714="","",IF(R714="","initial",IF(ABS(R714)&lt;=ShiftThresholdDays,"unchanged",IF(R714&gt;0,"delayed","accelerated"))))</f>
        <v/>
      </c>
    </row>
    <row r="715">
      <c r="A715" s="2" t="n"/>
      <c r="B715" s="2" t="n"/>
      <c r="C715" s="2" t="n"/>
      <c r="D715" s="2" t="n"/>
      <c r="E715" s="2" t="n"/>
      <c r="F715" s="2" t="n"/>
      <c r="G715" s="3" t="n"/>
      <c r="H715" s="2" t="n"/>
      <c r="I715" s="3" t="n"/>
      <c r="J715" s="2" t="n"/>
      <c r="K715" s="2" t="n"/>
      <c r="L715" s="2" t="n"/>
      <c r="M715" s="2" t="n"/>
      <c r="N715" s="2" t="n"/>
      <c r="O715" s="2" t="n"/>
      <c r="P715" s="2" t="n"/>
      <c r="Q715" s="4">
        <f>IF(OR(A715="",E715=""),"",IF(MAXIFS($E$2:$E$1001,$A$2:$A$1001,A715,$E$2:$E$1001,"&lt;"&amp;E715)=0,"",SUMIFS($G$2:$G$1001,$A$2:$A$1001,A715,$E$2:$E$1001,MAXIFS($E$2:$E$1001,$A$2:$A$1001,A715,$E$2:$E$1001,"&lt;"&amp;E715))))</f>
        <v/>
      </c>
      <c r="R715" s="9">
        <f>IF(OR(Q715="",G715=""),"",G715-Q715)</f>
        <v/>
      </c>
      <c r="S715" s="9">
        <f>IF(R715="","",SUMIFS($R$2:$R$1001,$A$2:$A$1001,A715,$E$2:$E$1001,"&lt;="&amp;E715))</f>
        <v/>
      </c>
      <c r="T715" s="5">
        <f>IF(A715="","",IF(R715="","initial",IF(ABS(R715)&lt;=ShiftThresholdDays,"unchanged",IF(R715&gt;0,"delayed","accelerated"))))</f>
        <v/>
      </c>
    </row>
    <row r="716">
      <c r="A716" s="2" t="n"/>
      <c r="B716" s="2" t="n"/>
      <c r="C716" s="2" t="n"/>
      <c r="D716" s="2" t="n"/>
      <c r="E716" s="2" t="n"/>
      <c r="F716" s="2" t="n"/>
      <c r="G716" s="3" t="n"/>
      <c r="H716" s="2" t="n"/>
      <c r="I716" s="3" t="n"/>
      <c r="J716" s="2" t="n"/>
      <c r="K716" s="2" t="n"/>
      <c r="L716" s="2" t="n"/>
      <c r="M716" s="2" t="n"/>
      <c r="N716" s="2" t="n"/>
      <c r="O716" s="2" t="n"/>
      <c r="P716" s="2" t="n"/>
      <c r="Q716" s="4">
        <f>IF(OR(A716="",E716=""),"",IF(MAXIFS($E$2:$E$1001,$A$2:$A$1001,A716,$E$2:$E$1001,"&lt;"&amp;E716)=0,"",SUMIFS($G$2:$G$1001,$A$2:$A$1001,A716,$E$2:$E$1001,MAXIFS($E$2:$E$1001,$A$2:$A$1001,A716,$E$2:$E$1001,"&lt;"&amp;E716))))</f>
        <v/>
      </c>
      <c r="R716" s="9">
        <f>IF(OR(Q716="",G716=""),"",G716-Q716)</f>
        <v/>
      </c>
      <c r="S716" s="9">
        <f>IF(R716="","",SUMIFS($R$2:$R$1001,$A$2:$A$1001,A716,$E$2:$E$1001,"&lt;="&amp;E716))</f>
        <v/>
      </c>
      <c r="T716" s="5">
        <f>IF(A716="","",IF(R716="","initial",IF(ABS(R716)&lt;=ShiftThresholdDays,"unchanged",IF(R716&gt;0,"delayed","accelerated"))))</f>
        <v/>
      </c>
    </row>
    <row r="717">
      <c r="A717" s="2" t="n"/>
      <c r="B717" s="2" t="n"/>
      <c r="C717" s="2" t="n"/>
      <c r="D717" s="2" t="n"/>
      <c r="E717" s="2" t="n"/>
      <c r="F717" s="2" t="n"/>
      <c r="G717" s="3" t="n"/>
      <c r="H717" s="2" t="n"/>
      <c r="I717" s="3" t="n"/>
      <c r="J717" s="2" t="n"/>
      <c r="K717" s="2" t="n"/>
      <c r="L717" s="2" t="n"/>
      <c r="M717" s="2" t="n"/>
      <c r="N717" s="2" t="n"/>
      <c r="O717" s="2" t="n"/>
      <c r="P717" s="2" t="n"/>
      <c r="Q717" s="4">
        <f>IF(OR(A717="",E717=""),"",IF(MAXIFS($E$2:$E$1001,$A$2:$A$1001,A717,$E$2:$E$1001,"&lt;"&amp;E717)=0,"",SUMIFS($G$2:$G$1001,$A$2:$A$1001,A717,$E$2:$E$1001,MAXIFS($E$2:$E$1001,$A$2:$A$1001,A717,$E$2:$E$1001,"&lt;"&amp;E717))))</f>
        <v/>
      </c>
      <c r="R717" s="9">
        <f>IF(OR(Q717="",G717=""),"",G717-Q717)</f>
        <v/>
      </c>
      <c r="S717" s="9">
        <f>IF(R717="","",SUMIFS($R$2:$R$1001,$A$2:$A$1001,A717,$E$2:$E$1001,"&lt;="&amp;E717))</f>
        <v/>
      </c>
      <c r="T717" s="5">
        <f>IF(A717="","",IF(R717="","initial",IF(ABS(R717)&lt;=ShiftThresholdDays,"unchanged",IF(R717&gt;0,"delayed","accelerated"))))</f>
        <v/>
      </c>
    </row>
    <row r="718">
      <c r="A718" s="2" t="n"/>
      <c r="B718" s="2" t="n"/>
      <c r="C718" s="2" t="n"/>
      <c r="D718" s="2" t="n"/>
      <c r="E718" s="2" t="n"/>
      <c r="F718" s="2" t="n"/>
      <c r="G718" s="3" t="n"/>
      <c r="H718" s="2" t="n"/>
      <c r="I718" s="3" t="n"/>
      <c r="J718" s="2" t="n"/>
      <c r="K718" s="2" t="n"/>
      <c r="L718" s="2" t="n"/>
      <c r="M718" s="2" t="n"/>
      <c r="N718" s="2" t="n"/>
      <c r="O718" s="2" t="n"/>
      <c r="P718" s="2" t="n"/>
      <c r="Q718" s="4">
        <f>IF(OR(A718="",E718=""),"",IF(MAXIFS($E$2:$E$1001,$A$2:$A$1001,A718,$E$2:$E$1001,"&lt;"&amp;E718)=0,"",SUMIFS($G$2:$G$1001,$A$2:$A$1001,A718,$E$2:$E$1001,MAXIFS($E$2:$E$1001,$A$2:$A$1001,A718,$E$2:$E$1001,"&lt;"&amp;E718))))</f>
        <v/>
      </c>
      <c r="R718" s="9">
        <f>IF(OR(Q718="",G718=""),"",G718-Q718)</f>
        <v/>
      </c>
      <c r="S718" s="9">
        <f>IF(R718="","",SUMIFS($R$2:$R$1001,$A$2:$A$1001,A718,$E$2:$E$1001,"&lt;="&amp;E718))</f>
        <v/>
      </c>
      <c r="T718" s="5">
        <f>IF(A718="","",IF(R718="","initial",IF(ABS(R718)&lt;=ShiftThresholdDays,"unchanged",IF(R718&gt;0,"delayed","accelerated"))))</f>
        <v/>
      </c>
    </row>
    <row r="719">
      <c r="A719" s="2" t="n"/>
      <c r="B719" s="2" t="n"/>
      <c r="C719" s="2" t="n"/>
      <c r="D719" s="2" t="n"/>
      <c r="E719" s="2" t="n"/>
      <c r="F719" s="2" t="n"/>
      <c r="G719" s="3" t="n"/>
      <c r="H719" s="2" t="n"/>
      <c r="I719" s="3" t="n"/>
      <c r="J719" s="2" t="n"/>
      <c r="K719" s="2" t="n"/>
      <c r="L719" s="2" t="n"/>
      <c r="M719" s="2" t="n"/>
      <c r="N719" s="2" t="n"/>
      <c r="O719" s="2" t="n"/>
      <c r="P719" s="2" t="n"/>
      <c r="Q719" s="4">
        <f>IF(OR(A719="",E719=""),"",IF(MAXIFS($E$2:$E$1001,$A$2:$A$1001,A719,$E$2:$E$1001,"&lt;"&amp;E719)=0,"",SUMIFS($G$2:$G$1001,$A$2:$A$1001,A719,$E$2:$E$1001,MAXIFS($E$2:$E$1001,$A$2:$A$1001,A719,$E$2:$E$1001,"&lt;"&amp;E719))))</f>
        <v/>
      </c>
      <c r="R719" s="9">
        <f>IF(OR(Q719="",G719=""),"",G719-Q719)</f>
        <v/>
      </c>
      <c r="S719" s="9">
        <f>IF(R719="","",SUMIFS($R$2:$R$1001,$A$2:$A$1001,A719,$E$2:$E$1001,"&lt;="&amp;E719))</f>
        <v/>
      </c>
      <c r="T719" s="5">
        <f>IF(A719="","",IF(R719="","initial",IF(ABS(R719)&lt;=ShiftThresholdDays,"unchanged",IF(R719&gt;0,"delayed","accelerated"))))</f>
        <v/>
      </c>
    </row>
    <row r="720">
      <c r="A720" s="2" t="n"/>
      <c r="B720" s="2" t="n"/>
      <c r="C720" s="2" t="n"/>
      <c r="D720" s="2" t="n"/>
      <c r="E720" s="2" t="n"/>
      <c r="F720" s="2" t="n"/>
      <c r="G720" s="3" t="n"/>
      <c r="H720" s="2" t="n"/>
      <c r="I720" s="3" t="n"/>
      <c r="J720" s="2" t="n"/>
      <c r="K720" s="2" t="n"/>
      <c r="L720" s="2" t="n"/>
      <c r="M720" s="2" t="n"/>
      <c r="N720" s="2" t="n"/>
      <c r="O720" s="2" t="n"/>
      <c r="P720" s="2" t="n"/>
      <c r="Q720" s="4">
        <f>IF(OR(A720="",E720=""),"",IF(MAXIFS($E$2:$E$1001,$A$2:$A$1001,A720,$E$2:$E$1001,"&lt;"&amp;E720)=0,"",SUMIFS($G$2:$G$1001,$A$2:$A$1001,A720,$E$2:$E$1001,MAXIFS($E$2:$E$1001,$A$2:$A$1001,A720,$E$2:$E$1001,"&lt;"&amp;E720))))</f>
        <v/>
      </c>
      <c r="R720" s="9">
        <f>IF(OR(Q720="",G720=""),"",G720-Q720)</f>
        <v/>
      </c>
      <c r="S720" s="9">
        <f>IF(R720="","",SUMIFS($R$2:$R$1001,$A$2:$A$1001,A720,$E$2:$E$1001,"&lt;="&amp;E720))</f>
        <v/>
      </c>
      <c r="T720" s="5">
        <f>IF(A720="","",IF(R720="","initial",IF(ABS(R720)&lt;=ShiftThresholdDays,"unchanged",IF(R720&gt;0,"delayed","accelerated"))))</f>
        <v/>
      </c>
    </row>
    <row r="721">
      <c r="A721" s="2" t="n"/>
      <c r="B721" s="2" t="n"/>
      <c r="C721" s="2" t="n"/>
      <c r="D721" s="2" t="n"/>
      <c r="E721" s="2" t="n"/>
      <c r="F721" s="2" t="n"/>
      <c r="G721" s="3" t="n"/>
      <c r="H721" s="2" t="n"/>
      <c r="I721" s="3" t="n"/>
      <c r="J721" s="2" t="n"/>
      <c r="K721" s="2" t="n"/>
      <c r="L721" s="2" t="n"/>
      <c r="M721" s="2" t="n"/>
      <c r="N721" s="2" t="n"/>
      <c r="O721" s="2" t="n"/>
      <c r="P721" s="2" t="n"/>
      <c r="Q721" s="4">
        <f>IF(OR(A721="",E721=""),"",IF(MAXIFS($E$2:$E$1001,$A$2:$A$1001,A721,$E$2:$E$1001,"&lt;"&amp;E721)=0,"",SUMIFS($G$2:$G$1001,$A$2:$A$1001,A721,$E$2:$E$1001,MAXIFS($E$2:$E$1001,$A$2:$A$1001,A721,$E$2:$E$1001,"&lt;"&amp;E721))))</f>
        <v/>
      </c>
      <c r="R721" s="9">
        <f>IF(OR(Q721="",G721=""),"",G721-Q721)</f>
        <v/>
      </c>
      <c r="S721" s="9">
        <f>IF(R721="","",SUMIFS($R$2:$R$1001,$A$2:$A$1001,A721,$E$2:$E$1001,"&lt;="&amp;E721))</f>
        <v/>
      </c>
      <c r="T721" s="5">
        <f>IF(A721="","",IF(R721="","initial",IF(ABS(R721)&lt;=ShiftThresholdDays,"unchanged",IF(R721&gt;0,"delayed","accelerated"))))</f>
        <v/>
      </c>
    </row>
    <row r="722">
      <c r="A722" s="2" t="n"/>
      <c r="B722" s="2" t="n"/>
      <c r="C722" s="2" t="n"/>
      <c r="D722" s="2" t="n"/>
      <c r="E722" s="2" t="n"/>
      <c r="F722" s="2" t="n"/>
      <c r="G722" s="3" t="n"/>
      <c r="H722" s="2" t="n"/>
      <c r="I722" s="3" t="n"/>
      <c r="J722" s="2" t="n"/>
      <c r="K722" s="2" t="n"/>
      <c r="L722" s="2" t="n"/>
      <c r="M722" s="2" t="n"/>
      <c r="N722" s="2" t="n"/>
      <c r="O722" s="2" t="n"/>
      <c r="P722" s="2" t="n"/>
      <c r="Q722" s="4">
        <f>IF(OR(A722="",E722=""),"",IF(MAXIFS($E$2:$E$1001,$A$2:$A$1001,A722,$E$2:$E$1001,"&lt;"&amp;E722)=0,"",SUMIFS($G$2:$G$1001,$A$2:$A$1001,A722,$E$2:$E$1001,MAXIFS($E$2:$E$1001,$A$2:$A$1001,A722,$E$2:$E$1001,"&lt;"&amp;E722))))</f>
        <v/>
      </c>
      <c r="R722" s="9">
        <f>IF(OR(Q722="",G722=""),"",G722-Q722)</f>
        <v/>
      </c>
      <c r="S722" s="9">
        <f>IF(R722="","",SUMIFS($R$2:$R$1001,$A$2:$A$1001,A722,$E$2:$E$1001,"&lt;="&amp;E722))</f>
        <v/>
      </c>
      <c r="T722" s="5">
        <f>IF(A722="","",IF(R722="","initial",IF(ABS(R722)&lt;=ShiftThresholdDays,"unchanged",IF(R722&gt;0,"delayed","accelerated"))))</f>
        <v/>
      </c>
    </row>
    <row r="723">
      <c r="A723" s="2" t="n"/>
      <c r="B723" s="2" t="n"/>
      <c r="C723" s="2" t="n"/>
      <c r="D723" s="2" t="n"/>
      <c r="E723" s="2" t="n"/>
      <c r="F723" s="2" t="n"/>
      <c r="G723" s="3" t="n"/>
      <c r="H723" s="2" t="n"/>
      <c r="I723" s="3" t="n"/>
      <c r="J723" s="2" t="n"/>
      <c r="K723" s="2" t="n"/>
      <c r="L723" s="2" t="n"/>
      <c r="M723" s="2" t="n"/>
      <c r="N723" s="2" t="n"/>
      <c r="O723" s="2" t="n"/>
      <c r="P723" s="2" t="n"/>
      <c r="Q723" s="4">
        <f>IF(OR(A723="",E723=""),"",IF(MAXIFS($E$2:$E$1001,$A$2:$A$1001,A723,$E$2:$E$1001,"&lt;"&amp;E723)=0,"",SUMIFS($G$2:$G$1001,$A$2:$A$1001,A723,$E$2:$E$1001,MAXIFS($E$2:$E$1001,$A$2:$A$1001,A723,$E$2:$E$1001,"&lt;"&amp;E723))))</f>
        <v/>
      </c>
      <c r="R723" s="9">
        <f>IF(OR(Q723="",G723=""),"",G723-Q723)</f>
        <v/>
      </c>
      <c r="S723" s="9">
        <f>IF(R723="","",SUMIFS($R$2:$R$1001,$A$2:$A$1001,A723,$E$2:$E$1001,"&lt;="&amp;E723))</f>
        <v/>
      </c>
      <c r="T723" s="5">
        <f>IF(A723="","",IF(R723="","initial",IF(ABS(R723)&lt;=ShiftThresholdDays,"unchanged",IF(R723&gt;0,"delayed","accelerated"))))</f>
        <v/>
      </c>
    </row>
    <row r="724">
      <c r="A724" s="2" t="n"/>
      <c r="B724" s="2" t="n"/>
      <c r="C724" s="2" t="n"/>
      <c r="D724" s="2" t="n"/>
      <c r="E724" s="2" t="n"/>
      <c r="F724" s="2" t="n"/>
      <c r="G724" s="3" t="n"/>
      <c r="H724" s="2" t="n"/>
      <c r="I724" s="3" t="n"/>
      <c r="J724" s="2" t="n"/>
      <c r="K724" s="2" t="n"/>
      <c r="L724" s="2" t="n"/>
      <c r="M724" s="2" t="n"/>
      <c r="N724" s="2" t="n"/>
      <c r="O724" s="2" t="n"/>
      <c r="P724" s="2" t="n"/>
      <c r="Q724" s="4">
        <f>IF(OR(A724="",E724=""),"",IF(MAXIFS($E$2:$E$1001,$A$2:$A$1001,A724,$E$2:$E$1001,"&lt;"&amp;E724)=0,"",SUMIFS($G$2:$G$1001,$A$2:$A$1001,A724,$E$2:$E$1001,MAXIFS($E$2:$E$1001,$A$2:$A$1001,A724,$E$2:$E$1001,"&lt;"&amp;E724))))</f>
        <v/>
      </c>
      <c r="R724" s="9">
        <f>IF(OR(Q724="",G724=""),"",G724-Q724)</f>
        <v/>
      </c>
      <c r="S724" s="9">
        <f>IF(R724="","",SUMIFS($R$2:$R$1001,$A$2:$A$1001,A724,$E$2:$E$1001,"&lt;="&amp;E724))</f>
        <v/>
      </c>
      <c r="T724" s="5">
        <f>IF(A724="","",IF(R724="","initial",IF(ABS(R724)&lt;=ShiftThresholdDays,"unchanged",IF(R724&gt;0,"delayed","accelerated"))))</f>
        <v/>
      </c>
    </row>
    <row r="725">
      <c r="A725" s="2" t="n"/>
      <c r="B725" s="2" t="n"/>
      <c r="C725" s="2" t="n"/>
      <c r="D725" s="2" t="n"/>
      <c r="E725" s="2" t="n"/>
      <c r="F725" s="2" t="n"/>
      <c r="G725" s="3" t="n"/>
      <c r="H725" s="2" t="n"/>
      <c r="I725" s="3" t="n"/>
      <c r="J725" s="2" t="n"/>
      <c r="K725" s="2" t="n"/>
      <c r="L725" s="2" t="n"/>
      <c r="M725" s="2" t="n"/>
      <c r="N725" s="2" t="n"/>
      <c r="O725" s="2" t="n"/>
      <c r="P725" s="2" t="n"/>
      <c r="Q725" s="4">
        <f>IF(OR(A725="",E725=""),"",IF(MAXIFS($E$2:$E$1001,$A$2:$A$1001,A725,$E$2:$E$1001,"&lt;"&amp;E725)=0,"",SUMIFS($G$2:$G$1001,$A$2:$A$1001,A725,$E$2:$E$1001,MAXIFS($E$2:$E$1001,$A$2:$A$1001,A725,$E$2:$E$1001,"&lt;"&amp;E725))))</f>
        <v/>
      </c>
      <c r="R725" s="9">
        <f>IF(OR(Q725="",G725=""),"",G725-Q725)</f>
        <v/>
      </c>
      <c r="S725" s="9">
        <f>IF(R725="","",SUMIFS($R$2:$R$1001,$A$2:$A$1001,A725,$E$2:$E$1001,"&lt;="&amp;E725))</f>
        <v/>
      </c>
      <c r="T725" s="5">
        <f>IF(A725="","",IF(R725="","initial",IF(ABS(R725)&lt;=ShiftThresholdDays,"unchanged",IF(R725&gt;0,"delayed","accelerated"))))</f>
        <v/>
      </c>
    </row>
    <row r="726">
      <c r="A726" s="2" t="n"/>
      <c r="B726" s="2" t="n"/>
      <c r="C726" s="2" t="n"/>
      <c r="D726" s="2" t="n"/>
      <c r="E726" s="2" t="n"/>
      <c r="F726" s="2" t="n"/>
      <c r="G726" s="3" t="n"/>
      <c r="H726" s="2" t="n"/>
      <c r="I726" s="3" t="n"/>
      <c r="J726" s="2" t="n"/>
      <c r="K726" s="2" t="n"/>
      <c r="L726" s="2" t="n"/>
      <c r="M726" s="2" t="n"/>
      <c r="N726" s="2" t="n"/>
      <c r="O726" s="2" t="n"/>
      <c r="P726" s="2" t="n"/>
      <c r="Q726" s="4">
        <f>IF(OR(A726="",E726=""),"",IF(MAXIFS($E$2:$E$1001,$A$2:$A$1001,A726,$E$2:$E$1001,"&lt;"&amp;E726)=0,"",SUMIFS($G$2:$G$1001,$A$2:$A$1001,A726,$E$2:$E$1001,MAXIFS($E$2:$E$1001,$A$2:$A$1001,A726,$E$2:$E$1001,"&lt;"&amp;E726))))</f>
        <v/>
      </c>
      <c r="R726" s="9">
        <f>IF(OR(Q726="",G726=""),"",G726-Q726)</f>
        <v/>
      </c>
      <c r="S726" s="9">
        <f>IF(R726="","",SUMIFS($R$2:$R$1001,$A$2:$A$1001,A726,$E$2:$E$1001,"&lt;="&amp;E726))</f>
        <v/>
      </c>
      <c r="T726" s="5">
        <f>IF(A726="","",IF(R726="","initial",IF(ABS(R726)&lt;=ShiftThresholdDays,"unchanged",IF(R726&gt;0,"delayed","accelerated"))))</f>
        <v/>
      </c>
    </row>
    <row r="727">
      <c r="A727" s="2" t="n"/>
      <c r="B727" s="2" t="n"/>
      <c r="C727" s="2" t="n"/>
      <c r="D727" s="2" t="n"/>
      <c r="E727" s="2" t="n"/>
      <c r="F727" s="2" t="n"/>
      <c r="G727" s="3" t="n"/>
      <c r="H727" s="2" t="n"/>
      <c r="I727" s="3" t="n"/>
      <c r="J727" s="2" t="n"/>
      <c r="K727" s="2" t="n"/>
      <c r="L727" s="2" t="n"/>
      <c r="M727" s="2" t="n"/>
      <c r="N727" s="2" t="n"/>
      <c r="O727" s="2" t="n"/>
      <c r="P727" s="2" t="n"/>
      <c r="Q727" s="4">
        <f>IF(OR(A727="",E727=""),"",IF(MAXIFS($E$2:$E$1001,$A$2:$A$1001,A727,$E$2:$E$1001,"&lt;"&amp;E727)=0,"",SUMIFS($G$2:$G$1001,$A$2:$A$1001,A727,$E$2:$E$1001,MAXIFS($E$2:$E$1001,$A$2:$A$1001,A727,$E$2:$E$1001,"&lt;"&amp;E727))))</f>
        <v/>
      </c>
      <c r="R727" s="9">
        <f>IF(OR(Q727="",G727=""),"",G727-Q727)</f>
        <v/>
      </c>
      <c r="S727" s="9">
        <f>IF(R727="","",SUMIFS($R$2:$R$1001,$A$2:$A$1001,A727,$E$2:$E$1001,"&lt;="&amp;E727))</f>
        <v/>
      </c>
      <c r="T727" s="5">
        <f>IF(A727="","",IF(R727="","initial",IF(ABS(R727)&lt;=ShiftThresholdDays,"unchanged",IF(R727&gt;0,"delayed","accelerated"))))</f>
        <v/>
      </c>
    </row>
    <row r="728">
      <c r="A728" s="2" t="n"/>
      <c r="B728" s="2" t="n"/>
      <c r="C728" s="2" t="n"/>
      <c r="D728" s="2" t="n"/>
      <c r="E728" s="2" t="n"/>
      <c r="F728" s="2" t="n"/>
      <c r="G728" s="3" t="n"/>
      <c r="H728" s="2" t="n"/>
      <c r="I728" s="3" t="n"/>
      <c r="J728" s="2" t="n"/>
      <c r="K728" s="2" t="n"/>
      <c r="L728" s="2" t="n"/>
      <c r="M728" s="2" t="n"/>
      <c r="N728" s="2" t="n"/>
      <c r="O728" s="2" t="n"/>
      <c r="P728" s="2" t="n"/>
      <c r="Q728" s="4">
        <f>IF(OR(A728="",E728=""),"",IF(MAXIFS($E$2:$E$1001,$A$2:$A$1001,A728,$E$2:$E$1001,"&lt;"&amp;E728)=0,"",SUMIFS($G$2:$G$1001,$A$2:$A$1001,A728,$E$2:$E$1001,MAXIFS($E$2:$E$1001,$A$2:$A$1001,A728,$E$2:$E$1001,"&lt;"&amp;E728))))</f>
        <v/>
      </c>
      <c r="R728" s="9">
        <f>IF(OR(Q728="",G728=""),"",G728-Q728)</f>
        <v/>
      </c>
      <c r="S728" s="9">
        <f>IF(R728="","",SUMIFS($R$2:$R$1001,$A$2:$A$1001,A728,$E$2:$E$1001,"&lt;="&amp;E728))</f>
        <v/>
      </c>
      <c r="T728" s="5">
        <f>IF(A728="","",IF(R728="","initial",IF(ABS(R728)&lt;=ShiftThresholdDays,"unchanged",IF(R728&gt;0,"delayed","accelerated"))))</f>
        <v/>
      </c>
    </row>
    <row r="729">
      <c r="A729" s="2" t="n"/>
      <c r="B729" s="2" t="n"/>
      <c r="C729" s="2" t="n"/>
      <c r="D729" s="2" t="n"/>
      <c r="E729" s="2" t="n"/>
      <c r="F729" s="2" t="n"/>
      <c r="G729" s="3" t="n"/>
      <c r="H729" s="2" t="n"/>
      <c r="I729" s="3" t="n"/>
      <c r="J729" s="2" t="n"/>
      <c r="K729" s="2" t="n"/>
      <c r="L729" s="2" t="n"/>
      <c r="M729" s="2" t="n"/>
      <c r="N729" s="2" t="n"/>
      <c r="O729" s="2" t="n"/>
      <c r="P729" s="2" t="n"/>
      <c r="Q729" s="4">
        <f>IF(OR(A729="",E729=""),"",IF(MAXIFS($E$2:$E$1001,$A$2:$A$1001,A729,$E$2:$E$1001,"&lt;"&amp;E729)=0,"",SUMIFS($G$2:$G$1001,$A$2:$A$1001,A729,$E$2:$E$1001,MAXIFS($E$2:$E$1001,$A$2:$A$1001,A729,$E$2:$E$1001,"&lt;"&amp;E729))))</f>
        <v/>
      </c>
      <c r="R729" s="9">
        <f>IF(OR(Q729="",G729=""),"",G729-Q729)</f>
        <v/>
      </c>
      <c r="S729" s="9">
        <f>IF(R729="","",SUMIFS($R$2:$R$1001,$A$2:$A$1001,A729,$E$2:$E$1001,"&lt;="&amp;E729))</f>
        <v/>
      </c>
      <c r="T729" s="5">
        <f>IF(A729="","",IF(R729="","initial",IF(ABS(R729)&lt;=ShiftThresholdDays,"unchanged",IF(R729&gt;0,"delayed","accelerated"))))</f>
        <v/>
      </c>
    </row>
    <row r="730">
      <c r="A730" s="2" t="n"/>
      <c r="B730" s="2" t="n"/>
      <c r="C730" s="2" t="n"/>
      <c r="D730" s="2" t="n"/>
      <c r="E730" s="2" t="n"/>
      <c r="F730" s="2" t="n"/>
      <c r="G730" s="3" t="n"/>
      <c r="H730" s="2" t="n"/>
      <c r="I730" s="3" t="n"/>
      <c r="J730" s="2" t="n"/>
      <c r="K730" s="2" t="n"/>
      <c r="L730" s="2" t="n"/>
      <c r="M730" s="2" t="n"/>
      <c r="N730" s="2" t="n"/>
      <c r="O730" s="2" t="n"/>
      <c r="P730" s="2" t="n"/>
      <c r="Q730" s="4">
        <f>IF(OR(A730="",E730=""),"",IF(MAXIFS($E$2:$E$1001,$A$2:$A$1001,A730,$E$2:$E$1001,"&lt;"&amp;E730)=0,"",SUMIFS($G$2:$G$1001,$A$2:$A$1001,A730,$E$2:$E$1001,MAXIFS($E$2:$E$1001,$A$2:$A$1001,A730,$E$2:$E$1001,"&lt;"&amp;E730))))</f>
        <v/>
      </c>
      <c r="R730" s="9">
        <f>IF(OR(Q730="",G730=""),"",G730-Q730)</f>
        <v/>
      </c>
      <c r="S730" s="9">
        <f>IF(R730="","",SUMIFS($R$2:$R$1001,$A$2:$A$1001,A730,$E$2:$E$1001,"&lt;="&amp;E730))</f>
        <v/>
      </c>
      <c r="T730" s="5">
        <f>IF(A730="","",IF(R730="","initial",IF(ABS(R730)&lt;=ShiftThresholdDays,"unchanged",IF(R730&gt;0,"delayed","accelerated"))))</f>
        <v/>
      </c>
    </row>
    <row r="731">
      <c r="A731" s="2" t="n"/>
      <c r="B731" s="2" t="n"/>
      <c r="C731" s="2" t="n"/>
      <c r="D731" s="2" t="n"/>
      <c r="E731" s="2" t="n"/>
      <c r="F731" s="2" t="n"/>
      <c r="G731" s="3" t="n"/>
      <c r="H731" s="2" t="n"/>
      <c r="I731" s="3" t="n"/>
      <c r="J731" s="2" t="n"/>
      <c r="K731" s="2" t="n"/>
      <c r="L731" s="2" t="n"/>
      <c r="M731" s="2" t="n"/>
      <c r="N731" s="2" t="n"/>
      <c r="O731" s="2" t="n"/>
      <c r="P731" s="2" t="n"/>
      <c r="Q731" s="4">
        <f>IF(OR(A731="",E731=""),"",IF(MAXIFS($E$2:$E$1001,$A$2:$A$1001,A731,$E$2:$E$1001,"&lt;"&amp;E731)=0,"",SUMIFS($G$2:$G$1001,$A$2:$A$1001,A731,$E$2:$E$1001,MAXIFS($E$2:$E$1001,$A$2:$A$1001,A731,$E$2:$E$1001,"&lt;"&amp;E731))))</f>
        <v/>
      </c>
      <c r="R731" s="9">
        <f>IF(OR(Q731="",G731=""),"",G731-Q731)</f>
        <v/>
      </c>
      <c r="S731" s="9">
        <f>IF(R731="","",SUMIFS($R$2:$R$1001,$A$2:$A$1001,A731,$E$2:$E$1001,"&lt;="&amp;E731))</f>
        <v/>
      </c>
      <c r="T731" s="5">
        <f>IF(A731="","",IF(R731="","initial",IF(ABS(R731)&lt;=ShiftThresholdDays,"unchanged",IF(R731&gt;0,"delayed","accelerated"))))</f>
        <v/>
      </c>
    </row>
    <row r="732">
      <c r="A732" s="2" t="n"/>
      <c r="B732" s="2" t="n"/>
      <c r="C732" s="2" t="n"/>
      <c r="D732" s="2" t="n"/>
      <c r="E732" s="2" t="n"/>
      <c r="F732" s="2" t="n"/>
      <c r="G732" s="3" t="n"/>
      <c r="H732" s="2" t="n"/>
      <c r="I732" s="3" t="n"/>
      <c r="J732" s="2" t="n"/>
      <c r="K732" s="2" t="n"/>
      <c r="L732" s="2" t="n"/>
      <c r="M732" s="2" t="n"/>
      <c r="N732" s="2" t="n"/>
      <c r="O732" s="2" t="n"/>
      <c r="P732" s="2" t="n"/>
      <c r="Q732" s="4">
        <f>IF(OR(A732="",E732=""),"",IF(MAXIFS($E$2:$E$1001,$A$2:$A$1001,A732,$E$2:$E$1001,"&lt;"&amp;E732)=0,"",SUMIFS($G$2:$G$1001,$A$2:$A$1001,A732,$E$2:$E$1001,MAXIFS($E$2:$E$1001,$A$2:$A$1001,A732,$E$2:$E$1001,"&lt;"&amp;E732))))</f>
        <v/>
      </c>
      <c r="R732" s="9">
        <f>IF(OR(Q732="",G732=""),"",G732-Q732)</f>
        <v/>
      </c>
      <c r="S732" s="9">
        <f>IF(R732="","",SUMIFS($R$2:$R$1001,$A$2:$A$1001,A732,$E$2:$E$1001,"&lt;="&amp;E732))</f>
        <v/>
      </c>
      <c r="T732" s="5">
        <f>IF(A732="","",IF(R732="","initial",IF(ABS(R732)&lt;=ShiftThresholdDays,"unchanged",IF(R732&gt;0,"delayed","accelerated"))))</f>
        <v/>
      </c>
    </row>
    <row r="733">
      <c r="A733" s="2" t="n"/>
      <c r="B733" s="2" t="n"/>
      <c r="C733" s="2" t="n"/>
      <c r="D733" s="2" t="n"/>
      <c r="E733" s="2" t="n"/>
      <c r="F733" s="2" t="n"/>
      <c r="G733" s="3" t="n"/>
      <c r="H733" s="2" t="n"/>
      <c r="I733" s="3" t="n"/>
      <c r="J733" s="2" t="n"/>
      <c r="K733" s="2" t="n"/>
      <c r="L733" s="2" t="n"/>
      <c r="M733" s="2" t="n"/>
      <c r="N733" s="2" t="n"/>
      <c r="O733" s="2" t="n"/>
      <c r="P733" s="2" t="n"/>
      <c r="Q733" s="4">
        <f>IF(OR(A733="",E733=""),"",IF(MAXIFS($E$2:$E$1001,$A$2:$A$1001,A733,$E$2:$E$1001,"&lt;"&amp;E733)=0,"",SUMIFS($G$2:$G$1001,$A$2:$A$1001,A733,$E$2:$E$1001,MAXIFS($E$2:$E$1001,$A$2:$A$1001,A733,$E$2:$E$1001,"&lt;"&amp;E733))))</f>
        <v/>
      </c>
      <c r="R733" s="9">
        <f>IF(OR(Q733="",G733=""),"",G733-Q733)</f>
        <v/>
      </c>
      <c r="S733" s="9">
        <f>IF(R733="","",SUMIFS($R$2:$R$1001,$A$2:$A$1001,A733,$E$2:$E$1001,"&lt;="&amp;E733))</f>
        <v/>
      </c>
      <c r="T733" s="5">
        <f>IF(A733="","",IF(R733="","initial",IF(ABS(R733)&lt;=ShiftThresholdDays,"unchanged",IF(R733&gt;0,"delayed","accelerated"))))</f>
        <v/>
      </c>
    </row>
    <row r="734">
      <c r="A734" s="2" t="n"/>
      <c r="B734" s="2" t="n"/>
      <c r="C734" s="2" t="n"/>
      <c r="D734" s="2" t="n"/>
      <c r="E734" s="2" t="n"/>
      <c r="F734" s="2" t="n"/>
      <c r="G734" s="3" t="n"/>
      <c r="H734" s="2" t="n"/>
      <c r="I734" s="3" t="n"/>
      <c r="J734" s="2" t="n"/>
      <c r="K734" s="2" t="n"/>
      <c r="L734" s="2" t="n"/>
      <c r="M734" s="2" t="n"/>
      <c r="N734" s="2" t="n"/>
      <c r="O734" s="2" t="n"/>
      <c r="P734" s="2" t="n"/>
      <c r="Q734" s="4">
        <f>IF(OR(A734="",E734=""),"",IF(MAXIFS($E$2:$E$1001,$A$2:$A$1001,A734,$E$2:$E$1001,"&lt;"&amp;E734)=0,"",SUMIFS($G$2:$G$1001,$A$2:$A$1001,A734,$E$2:$E$1001,MAXIFS($E$2:$E$1001,$A$2:$A$1001,A734,$E$2:$E$1001,"&lt;"&amp;E734))))</f>
        <v/>
      </c>
      <c r="R734" s="9">
        <f>IF(OR(Q734="",G734=""),"",G734-Q734)</f>
        <v/>
      </c>
      <c r="S734" s="9">
        <f>IF(R734="","",SUMIFS($R$2:$R$1001,$A$2:$A$1001,A734,$E$2:$E$1001,"&lt;="&amp;E734))</f>
        <v/>
      </c>
      <c r="T734" s="5">
        <f>IF(A734="","",IF(R734="","initial",IF(ABS(R734)&lt;=ShiftThresholdDays,"unchanged",IF(R734&gt;0,"delayed","accelerated"))))</f>
        <v/>
      </c>
    </row>
    <row r="735">
      <c r="A735" s="2" t="n"/>
      <c r="B735" s="2" t="n"/>
      <c r="C735" s="2" t="n"/>
      <c r="D735" s="2" t="n"/>
      <c r="E735" s="2" t="n"/>
      <c r="F735" s="2" t="n"/>
      <c r="G735" s="3" t="n"/>
      <c r="H735" s="2" t="n"/>
      <c r="I735" s="3" t="n"/>
      <c r="J735" s="2" t="n"/>
      <c r="K735" s="2" t="n"/>
      <c r="L735" s="2" t="n"/>
      <c r="M735" s="2" t="n"/>
      <c r="N735" s="2" t="n"/>
      <c r="O735" s="2" t="n"/>
      <c r="P735" s="2" t="n"/>
      <c r="Q735" s="4">
        <f>IF(OR(A735="",E735=""),"",IF(MAXIFS($E$2:$E$1001,$A$2:$A$1001,A735,$E$2:$E$1001,"&lt;"&amp;E735)=0,"",SUMIFS($G$2:$G$1001,$A$2:$A$1001,A735,$E$2:$E$1001,MAXIFS($E$2:$E$1001,$A$2:$A$1001,A735,$E$2:$E$1001,"&lt;"&amp;E735))))</f>
        <v/>
      </c>
      <c r="R735" s="9">
        <f>IF(OR(Q735="",G735=""),"",G735-Q735)</f>
        <v/>
      </c>
      <c r="S735" s="9">
        <f>IF(R735="","",SUMIFS($R$2:$R$1001,$A$2:$A$1001,A735,$E$2:$E$1001,"&lt;="&amp;E735))</f>
        <v/>
      </c>
      <c r="T735" s="5">
        <f>IF(A735="","",IF(R735="","initial",IF(ABS(R735)&lt;=ShiftThresholdDays,"unchanged",IF(R735&gt;0,"delayed","accelerated"))))</f>
        <v/>
      </c>
    </row>
    <row r="736">
      <c r="A736" s="2" t="n"/>
      <c r="B736" s="2" t="n"/>
      <c r="C736" s="2" t="n"/>
      <c r="D736" s="2" t="n"/>
      <c r="E736" s="2" t="n"/>
      <c r="F736" s="2" t="n"/>
      <c r="G736" s="3" t="n"/>
      <c r="H736" s="2" t="n"/>
      <c r="I736" s="3" t="n"/>
      <c r="J736" s="2" t="n"/>
      <c r="K736" s="2" t="n"/>
      <c r="L736" s="2" t="n"/>
      <c r="M736" s="2" t="n"/>
      <c r="N736" s="2" t="n"/>
      <c r="O736" s="2" t="n"/>
      <c r="P736" s="2" t="n"/>
      <c r="Q736" s="4">
        <f>IF(OR(A736="",E736=""),"",IF(MAXIFS($E$2:$E$1001,$A$2:$A$1001,A736,$E$2:$E$1001,"&lt;"&amp;E736)=0,"",SUMIFS($G$2:$G$1001,$A$2:$A$1001,A736,$E$2:$E$1001,MAXIFS($E$2:$E$1001,$A$2:$A$1001,A736,$E$2:$E$1001,"&lt;"&amp;E736))))</f>
        <v/>
      </c>
      <c r="R736" s="9">
        <f>IF(OR(Q736="",G736=""),"",G736-Q736)</f>
        <v/>
      </c>
      <c r="S736" s="9">
        <f>IF(R736="","",SUMIFS($R$2:$R$1001,$A$2:$A$1001,A736,$E$2:$E$1001,"&lt;="&amp;E736))</f>
        <v/>
      </c>
      <c r="T736" s="5">
        <f>IF(A736="","",IF(R736="","initial",IF(ABS(R736)&lt;=ShiftThresholdDays,"unchanged",IF(R736&gt;0,"delayed","accelerated"))))</f>
        <v/>
      </c>
    </row>
    <row r="737">
      <c r="A737" s="2" t="n"/>
      <c r="B737" s="2" t="n"/>
      <c r="C737" s="2" t="n"/>
      <c r="D737" s="2" t="n"/>
      <c r="E737" s="2" t="n"/>
      <c r="F737" s="2" t="n"/>
      <c r="G737" s="3" t="n"/>
      <c r="H737" s="2" t="n"/>
      <c r="I737" s="3" t="n"/>
      <c r="J737" s="2" t="n"/>
      <c r="K737" s="2" t="n"/>
      <c r="L737" s="2" t="n"/>
      <c r="M737" s="2" t="n"/>
      <c r="N737" s="2" t="n"/>
      <c r="O737" s="2" t="n"/>
      <c r="P737" s="2" t="n"/>
      <c r="Q737" s="4">
        <f>IF(OR(A737="",E737=""),"",IF(MAXIFS($E$2:$E$1001,$A$2:$A$1001,A737,$E$2:$E$1001,"&lt;"&amp;E737)=0,"",SUMIFS($G$2:$G$1001,$A$2:$A$1001,A737,$E$2:$E$1001,MAXIFS($E$2:$E$1001,$A$2:$A$1001,A737,$E$2:$E$1001,"&lt;"&amp;E737))))</f>
        <v/>
      </c>
      <c r="R737" s="9">
        <f>IF(OR(Q737="",G737=""),"",G737-Q737)</f>
        <v/>
      </c>
      <c r="S737" s="9">
        <f>IF(R737="","",SUMIFS($R$2:$R$1001,$A$2:$A$1001,A737,$E$2:$E$1001,"&lt;="&amp;E737))</f>
        <v/>
      </c>
      <c r="T737" s="5">
        <f>IF(A737="","",IF(R737="","initial",IF(ABS(R737)&lt;=ShiftThresholdDays,"unchanged",IF(R737&gt;0,"delayed","accelerated"))))</f>
        <v/>
      </c>
    </row>
    <row r="738">
      <c r="A738" s="2" t="n"/>
      <c r="B738" s="2" t="n"/>
      <c r="C738" s="2" t="n"/>
      <c r="D738" s="2" t="n"/>
      <c r="E738" s="2" t="n"/>
      <c r="F738" s="2" t="n"/>
      <c r="G738" s="3" t="n"/>
      <c r="H738" s="2" t="n"/>
      <c r="I738" s="3" t="n"/>
      <c r="J738" s="2" t="n"/>
      <c r="K738" s="2" t="n"/>
      <c r="L738" s="2" t="n"/>
      <c r="M738" s="2" t="n"/>
      <c r="N738" s="2" t="n"/>
      <c r="O738" s="2" t="n"/>
      <c r="P738" s="2" t="n"/>
      <c r="Q738" s="4">
        <f>IF(OR(A738="",E738=""),"",IF(MAXIFS($E$2:$E$1001,$A$2:$A$1001,A738,$E$2:$E$1001,"&lt;"&amp;E738)=0,"",SUMIFS($G$2:$G$1001,$A$2:$A$1001,A738,$E$2:$E$1001,MAXIFS($E$2:$E$1001,$A$2:$A$1001,A738,$E$2:$E$1001,"&lt;"&amp;E738))))</f>
        <v/>
      </c>
      <c r="R738" s="9">
        <f>IF(OR(Q738="",G738=""),"",G738-Q738)</f>
        <v/>
      </c>
      <c r="S738" s="9">
        <f>IF(R738="","",SUMIFS($R$2:$R$1001,$A$2:$A$1001,A738,$E$2:$E$1001,"&lt;="&amp;E738))</f>
        <v/>
      </c>
      <c r="T738" s="5">
        <f>IF(A738="","",IF(R738="","initial",IF(ABS(R738)&lt;=ShiftThresholdDays,"unchanged",IF(R738&gt;0,"delayed","accelerated"))))</f>
        <v/>
      </c>
    </row>
    <row r="739">
      <c r="A739" s="2" t="n"/>
      <c r="B739" s="2" t="n"/>
      <c r="C739" s="2" t="n"/>
      <c r="D739" s="2" t="n"/>
      <c r="E739" s="2" t="n"/>
      <c r="F739" s="2" t="n"/>
      <c r="G739" s="3" t="n"/>
      <c r="H739" s="2" t="n"/>
      <c r="I739" s="3" t="n"/>
      <c r="J739" s="2" t="n"/>
      <c r="K739" s="2" t="n"/>
      <c r="L739" s="2" t="n"/>
      <c r="M739" s="2" t="n"/>
      <c r="N739" s="2" t="n"/>
      <c r="O739" s="2" t="n"/>
      <c r="P739" s="2" t="n"/>
      <c r="Q739" s="4">
        <f>IF(OR(A739="",E739=""),"",IF(MAXIFS($E$2:$E$1001,$A$2:$A$1001,A739,$E$2:$E$1001,"&lt;"&amp;E739)=0,"",SUMIFS($G$2:$G$1001,$A$2:$A$1001,A739,$E$2:$E$1001,MAXIFS($E$2:$E$1001,$A$2:$A$1001,A739,$E$2:$E$1001,"&lt;"&amp;E739))))</f>
        <v/>
      </c>
      <c r="R739" s="9">
        <f>IF(OR(Q739="",G739=""),"",G739-Q739)</f>
        <v/>
      </c>
      <c r="S739" s="9">
        <f>IF(R739="","",SUMIFS($R$2:$R$1001,$A$2:$A$1001,A739,$E$2:$E$1001,"&lt;="&amp;E739))</f>
        <v/>
      </c>
      <c r="T739" s="5">
        <f>IF(A739="","",IF(R739="","initial",IF(ABS(R739)&lt;=ShiftThresholdDays,"unchanged",IF(R739&gt;0,"delayed","accelerated"))))</f>
        <v/>
      </c>
    </row>
    <row r="740">
      <c r="A740" s="2" t="n"/>
      <c r="B740" s="2" t="n"/>
      <c r="C740" s="2" t="n"/>
      <c r="D740" s="2" t="n"/>
      <c r="E740" s="2" t="n"/>
      <c r="F740" s="2" t="n"/>
      <c r="G740" s="3" t="n"/>
      <c r="H740" s="2" t="n"/>
      <c r="I740" s="3" t="n"/>
      <c r="J740" s="2" t="n"/>
      <c r="K740" s="2" t="n"/>
      <c r="L740" s="2" t="n"/>
      <c r="M740" s="2" t="n"/>
      <c r="N740" s="2" t="n"/>
      <c r="O740" s="2" t="n"/>
      <c r="P740" s="2" t="n"/>
      <c r="Q740" s="4">
        <f>IF(OR(A740="",E740=""),"",IF(MAXIFS($E$2:$E$1001,$A$2:$A$1001,A740,$E$2:$E$1001,"&lt;"&amp;E740)=0,"",SUMIFS($G$2:$G$1001,$A$2:$A$1001,A740,$E$2:$E$1001,MAXIFS($E$2:$E$1001,$A$2:$A$1001,A740,$E$2:$E$1001,"&lt;"&amp;E740))))</f>
        <v/>
      </c>
      <c r="R740" s="9">
        <f>IF(OR(Q740="",G740=""),"",G740-Q740)</f>
        <v/>
      </c>
      <c r="S740" s="9">
        <f>IF(R740="","",SUMIFS($R$2:$R$1001,$A$2:$A$1001,A740,$E$2:$E$1001,"&lt;="&amp;E740))</f>
        <v/>
      </c>
      <c r="T740" s="5">
        <f>IF(A740="","",IF(R740="","initial",IF(ABS(R740)&lt;=ShiftThresholdDays,"unchanged",IF(R740&gt;0,"delayed","accelerated"))))</f>
        <v/>
      </c>
    </row>
    <row r="741">
      <c r="A741" s="2" t="n"/>
      <c r="B741" s="2" t="n"/>
      <c r="C741" s="2" t="n"/>
      <c r="D741" s="2" t="n"/>
      <c r="E741" s="2" t="n"/>
      <c r="F741" s="2" t="n"/>
      <c r="G741" s="3" t="n"/>
      <c r="H741" s="2" t="n"/>
      <c r="I741" s="3" t="n"/>
      <c r="J741" s="2" t="n"/>
      <c r="K741" s="2" t="n"/>
      <c r="L741" s="2" t="n"/>
      <c r="M741" s="2" t="n"/>
      <c r="N741" s="2" t="n"/>
      <c r="O741" s="2" t="n"/>
      <c r="P741" s="2" t="n"/>
      <c r="Q741" s="4">
        <f>IF(OR(A741="",E741=""),"",IF(MAXIFS($E$2:$E$1001,$A$2:$A$1001,A741,$E$2:$E$1001,"&lt;"&amp;E741)=0,"",SUMIFS($G$2:$G$1001,$A$2:$A$1001,A741,$E$2:$E$1001,MAXIFS($E$2:$E$1001,$A$2:$A$1001,A741,$E$2:$E$1001,"&lt;"&amp;E741))))</f>
        <v/>
      </c>
      <c r="R741" s="9">
        <f>IF(OR(Q741="",G741=""),"",G741-Q741)</f>
        <v/>
      </c>
      <c r="S741" s="9">
        <f>IF(R741="","",SUMIFS($R$2:$R$1001,$A$2:$A$1001,A741,$E$2:$E$1001,"&lt;="&amp;E741))</f>
        <v/>
      </c>
      <c r="T741" s="5">
        <f>IF(A741="","",IF(R741="","initial",IF(ABS(R741)&lt;=ShiftThresholdDays,"unchanged",IF(R741&gt;0,"delayed","accelerated"))))</f>
        <v/>
      </c>
    </row>
    <row r="742">
      <c r="A742" s="2" t="n"/>
      <c r="B742" s="2" t="n"/>
      <c r="C742" s="2" t="n"/>
      <c r="D742" s="2" t="n"/>
      <c r="E742" s="2" t="n"/>
      <c r="F742" s="2" t="n"/>
      <c r="G742" s="3" t="n"/>
      <c r="H742" s="2" t="n"/>
      <c r="I742" s="3" t="n"/>
      <c r="J742" s="2" t="n"/>
      <c r="K742" s="2" t="n"/>
      <c r="L742" s="2" t="n"/>
      <c r="M742" s="2" t="n"/>
      <c r="N742" s="2" t="n"/>
      <c r="O742" s="2" t="n"/>
      <c r="P742" s="2" t="n"/>
      <c r="Q742" s="4">
        <f>IF(OR(A742="",E742=""),"",IF(MAXIFS($E$2:$E$1001,$A$2:$A$1001,A742,$E$2:$E$1001,"&lt;"&amp;E742)=0,"",SUMIFS($G$2:$G$1001,$A$2:$A$1001,A742,$E$2:$E$1001,MAXIFS($E$2:$E$1001,$A$2:$A$1001,A742,$E$2:$E$1001,"&lt;"&amp;E742))))</f>
        <v/>
      </c>
      <c r="R742" s="9">
        <f>IF(OR(Q742="",G742=""),"",G742-Q742)</f>
        <v/>
      </c>
      <c r="S742" s="9">
        <f>IF(R742="","",SUMIFS($R$2:$R$1001,$A$2:$A$1001,A742,$E$2:$E$1001,"&lt;="&amp;E742))</f>
        <v/>
      </c>
      <c r="T742" s="5">
        <f>IF(A742="","",IF(R742="","initial",IF(ABS(R742)&lt;=ShiftThresholdDays,"unchanged",IF(R742&gt;0,"delayed","accelerated"))))</f>
        <v/>
      </c>
    </row>
    <row r="743">
      <c r="A743" s="2" t="n"/>
      <c r="B743" s="2" t="n"/>
      <c r="C743" s="2" t="n"/>
      <c r="D743" s="2" t="n"/>
      <c r="E743" s="2" t="n"/>
      <c r="F743" s="2" t="n"/>
      <c r="G743" s="3" t="n"/>
      <c r="H743" s="2" t="n"/>
      <c r="I743" s="3" t="n"/>
      <c r="J743" s="2" t="n"/>
      <c r="K743" s="2" t="n"/>
      <c r="L743" s="2" t="n"/>
      <c r="M743" s="2" t="n"/>
      <c r="N743" s="2" t="n"/>
      <c r="O743" s="2" t="n"/>
      <c r="P743" s="2" t="n"/>
      <c r="Q743" s="4">
        <f>IF(OR(A743="",E743=""),"",IF(MAXIFS($E$2:$E$1001,$A$2:$A$1001,A743,$E$2:$E$1001,"&lt;"&amp;E743)=0,"",SUMIFS($G$2:$G$1001,$A$2:$A$1001,A743,$E$2:$E$1001,MAXIFS($E$2:$E$1001,$A$2:$A$1001,A743,$E$2:$E$1001,"&lt;"&amp;E743))))</f>
        <v/>
      </c>
      <c r="R743" s="9">
        <f>IF(OR(Q743="",G743=""),"",G743-Q743)</f>
        <v/>
      </c>
      <c r="S743" s="9">
        <f>IF(R743="","",SUMIFS($R$2:$R$1001,$A$2:$A$1001,A743,$E$2:$E$1001,"&lt;="&amp;E743))</f>
        <v/>
      </c>
      <c r="T743" s="5">
        <f>IF(A743="","",IF(R743="","initial",IF(ABS(R743)&lt;=ShiftThresholdDays,"unchanged",IF(R743&gt;0,"delayed","accelerated"))))</f>
        <v/>
      </c>
    </row>
    <row r="744">
      <c r="A744" s="2" t="n"/>
      <c r="B744" s="2" t="n"/>
      <c r="C744" s="2" t="n"/>
      <c r="D744" s="2" t="n"/>
      <c r="E744" s="2" t="n"/>
      <c r="F744" s="2" t="n"/>
      <c r="G744" s="3" t="n"/>
      <c r="H744" s="2" t="n"/>
      <c r="I744" s="3" t="n"/>
      <c r="J744" s="2" t="n"/>
      <c r="K744" s="2" t="n"/>
      <c r="L744" s="2" t="n"/>
      <c r="M744" s="2" t="n"/>
      <c r="N744" s="2" t="n"/>
      <c r="O744" s="2" t="n"/>
      <c r="P744" s="2" t="n"/>
      <c r="Q744" s="4">
        <f>IF(OR(A744="",E744=""),"",IF(MAXIFS($E$2:$E$1001,$A$2:$A$1001,A744,$E$2:$E$1001,"&lt;"&amp;E744)=0,"",SUMIFS($G$2:$G$1001,$A$2:$A$1001,A744,$E$2:$E$1001,MAXIFS($E$2:$E$1001,$A$2:$A$1001,A744,$E$2:$E$1001,"&lt;"&amp;E744))))</f>
        <v/>
      </c>
      <c r="R744" s="9">
        <f>IF(OR(Q744="",G744=""),"",G744-Q744)</f>
        <v/>
      </c>
      <c r="S744" s="9">
        <f>IF(R744="","",SUMIFS($R$2:$R$1001,$A$2:$A$1001,A744,$E$2:$E$1001,"&lt;="&amp;E744))</f>
        <v/>
      </c>
      <c r="T744" s="5">
        <f>IF(A744="","",IF(R744="","initial",IF(ABS(R744)&lt;=ShiftThresholdDays,"unchanged",IF(R744&gt;0,"delayed","accelerated"))))</f>
        <v/>
      </c>
    </row>
    <row r="745">
      <c r="A745" s="2" t="n"/>
      <c r="B745" s="2" t="n"/>
      <c r="C745" s="2" t="n"/>
      <c r="D745" s="2" t="n"/>
      <c r="E745" s="2" t="n"/>
      <c r="F745" s="2" t="n"/>
      <c r="G745" s="3" t="n"/>
      <c r="H745" s="2" t="n"/>
      <c r="I745" s="3" t="n"/>
      <c r="J745" s="2" t="n"/>
      <c r="K745" s="2" t="n"/>
      <c r="L745" s="2" t="n"/>
      <c r="M745" s="2" t="n"/>
      <c r="N745" s="2" t="n"/>
      <c r="O745" s="2" t="n"/>
      <c r="P745" s="2" t="n"/>
      <c r="Q745" s="4">
        <f>IF(OR(A745="",E745=""),"",IF(MAXIFS($E$2:$E$1001,$A$2:$A$1001,A745,$E$2:$E$1001,"&lt;"&amp;E745)=0,"",SUMIFS($G$2:$G$1001,$A$2:$A$1001,A745,$E$2:$E$1001,MAXIFS($E$2:$E$1001,$A$2:$A$1001,A745,$E$2:$E$1001,"&lt;"&amp;E745))))</f>
        <v/>
      </c>
      <c r="R745" s="9">
        <f>IF(OR(Q745="",G745=""),"",G745-Q745)</f>
        <v/>
      </c>
      <c r="S745" s="9">
        <f>IF(R745="","",SUMIFS($R$2:$R$1001,$A$2:$A$1001,A745,$E$2:$E$1001,"&lt;="&amp;E745))</f>
        <v/>
      </c>
      <c r="T745" s="5">
        <f>IF(A745="","",IF(R745="","initial",IF(ABS(R745)&lt;=ShiftThresholdDays,"unchanged",IF(R745&gt;0,"delayed","accelerated"))))</f>
        <v/>
      </c>
    </row>
    <row r="746">
      <c r="A746" s="2" t="n"/>
      <c r="B746" s="2" t="n"/>
      <c r="C746" s="2" t="n"/>
      <c r="D746" s="2" t="n"/>
      <c r="E746" s="2" t="n"/>
      <c r="F746" s="2" t="n"/>
      <c r="G746" s="3" t="n"/>
      <c r="H746" s="2" t="n"/>
      <c r="I746" s="3" t="n"/>
      <c r="J746" s="2" t="n"/>
      <c r="K746" s="2" t="n"/>
      <c r="L746" s="2" t="n"/>
      <c r="M746" s="2" t="n"/>
      <c r="N746" s="2" t="n"/>
      <c r="O746" s="2" t="n"/>
      <c r="P746" s="2" t="n"/>
      <c r="Q746" s="4">
        <f>IF(OR(A746="",E746=""),"",IF(MAXIFS($E$2:$E$1001,$A$2:$A$1001,A746,$E$2:$E$1001,"&lt;"&amp;E746)=0,"",SUMIFS($G$2:$G$1001,$A$2:$A$1001,A746,$E$2:$E$1001,MAXIFS($E$2:$E$1001,$A$2:$A$1001,A746,$E$2:$E$1001,"&lt;"&amp;E746))))</f>
        <v/>
      </c>
      <c r="R746" s="9">
        <f>IF(OR(Q746="",G746=""),"",G746-Q746)</f>
        <v/>
      </c>
      <c r="S746" s="9">
        <f>IF(R746="","",SUMIFS($R$2:$R$1001,$A$2:$A$1001,A746,$E$2:$E$1001,"&lt;="&amp;E746))</f>
        <v/>
      </c>
      <c r="T746" s="5">
        <f>IF(A746="","",IF(R746="","initial",IF(ABS(R746)&lt;=ShiftThresholdDays,"unchanged",IF(R746&gt;0,"delayed","accelerated"))))</f>
        <v/>
      </c>
    </row>
    <row r="747">
      <c r="A747" s="2" t="n"/>
      <c r="B747" s="2" t="n"/>
      <c r="C747" s="2" t="n"/>
      <c r="D747" s="2" t="n"/>
      <c r="E747" s="2" t="n"/>
      <c r="F747" s="2" t="n"/>
      <c r="G747" s="3" t="n"/>
      <c r="H747" s="2" t="n"/>
      <c r="I747" s="3" t="n"/>
      <c r="J747" s="2" t="n"/>
      <c r="K747" s="2" t="n"/>
      <c r="L747" s="2" t="n"/>
      <c r="M747" s="2" t="n"/>
      <c r="N747" s="2" t="n"/>
      <c r="O747" s="2" t="n"/>
      <c r="P747" s="2" t="n"/>
      <c r="Q747" s="4">
        <f>IF(OR(A747="",E747=""),"",IF(MAXIFS($E$2:$E$1001,$A$2:$A$1001,A747,$E$2:$E$1001,"&lt;"&amp;E747)=0,"",SUMIFS($G$2:$G$1001,$A$2:$A$1001,A747,$E$2:$E$1001,MAXIFS($E$2:$E$1001,$A$2:$A$1001,A747,$E$2:$E$1001,"&lt;"&amp;E747))))</f>
        <v/>
      </c>
      <c r="R747" s="9">
        <f>IF(OR(Q747="",G747=""),"",G747-Q747)</f>
        <v/>
      </c>
      <c r="S747" s="9">
        <f>IF(R747="","",SUMIFS($R$2:$R$1001,$A$2:$A$1001,A747,$E$2:$E$1001,"&lt;="&amp;E747))</f>
        <v/>
      </c>
      <c r="T747" s="5">
        <f>IF(A747="","",IF(R747="","initial",IF(ABS(R747)&lt;=ShiftThresholdDays,"unchanged",IF(R747&gt;0,"delayed","accelerated"))))</f>
        <v/>
      </c>
    </row>
    <row r="748">
      <c r="A748" s="2" t="n"/>
      <c r="B748" s="2" t="n"/>
      <c r="C748" s="2" t="n"/>
      <c r="D748" s="2" t="n"/>
      <c r="E748" s="2" t="n"/>
      <c r="F748" s="2" t="n"/>
      <c r="G748" s="3" t="n"/>
      <c r="H748" s="2" t="n"/>
      <c r="I748" s="3" t="n"/>
      <c r="J748" s="2" t="n"/>
      <c r="K748" s="2" t="n"/>
      <c r="L748" s="2" t="n"/>
      <c r="M748" s="2" t="n"/>
      <c r="N748" s="2" t="n"/>
      <c r="O748" s="2" t="n"/>
      <c r="P748" s="2" t="n"/>
      <c r="Q748" s="4">
        <f>IF(OR(A748="",E748=""),"",IF(MAXIFS($E$2:$E$1001,$A$2:$A$1001,A748,$E$2:$E$1001,"&lt;"&amp;E748)=0,"",SUMIFS($G$2:$G$1001,$A$2:$A$1001,A748,$E$2:$E$1001,MAXIFS($E$2:$E$1001,$A$2:$A$1001,A748,$E$2:$E$1001,"&lt;"&amp;E748))))</f>
        <v/>
      </c>
      <c r="R748" s="9">
        <f>IF(OR(Q748="",G748=""),"",G748-Q748)</f>
        <v/>
      </c>
      <c r="S748" s="9">
        <f>IF(R748="","",SUMIFS($R$2:$R$1001,$A$2:$A$1001,A748,$E$2:$E$1001,"&lt;="&amp;E748))</f>
        <v/>
      </c>
      <c r="T748" s="5">
        <f>IF(A748="","",IF(R748="","initial",IF(ABS(R748)&lt;=ShiftThresholdDays,"unchanged",IF(R748&gt;0,"delayed","accelerated"))))</f>
        <v/>
      </c>
    </row>
    <row r="749">
      <c r="A749" s="2" t="n"/>
      <c r="B749" s="2" t="n"/>
      <c r="C749" s="2" t="n"/>
      <c r="D749" s="2" t="n"/>
      <c r="E749" s="2" t="n"/>
      <c r="F749" s="2" t="n"/>
      <c r="G749" s="3" t="n"/>
      <c r="H749" s="2" t="n"/>
      <c r="I749" s="3" t="n"/>
      <c r="J749" s="2" t="n"/>
      <c r="K749" s="2" t="n"/>
      <c r="L749" s="2" t="n"/>
      <c r="M749" s="2" t="n"/>
      <c r="N749" s="2" t="n"/>
      <c r="O749" s="2" t="n"/>
      <c r="P749" s="2" t="n"/>
      <c r="Q749" s="4">
        <f>IF(OR(A749="",E749=""),"",IF(MAXIFS($E$2:$E$1001,$A$2:$A$1001,A749,$E$2:$E$1001,"&lt;"&amp;E749)=0,"",SUMIFS($G$2:$G$1001,$A$2:$A$1001,A749,$E$2:$E$1001,MAXIFS($E$2:$E$1001,$A$2:$A$1001,A749,$E$2:$E$1001,"&lt;"&amp;E749))))</f>
        <v/>
      </c>
      <c r="R749" s="9">
        <f>IF(OR(Q749="",G749=""),"",G749-Q749)</f>
        <v/>
      </c>
      <c r="S749" s="9">
        <f>IF(R749="","",SUMIFS($R$2:$R$1001,$A$2:$A$1001,A749,$E$2:$E$1001,"&lt;="&amp;E749))</f>
        <v/>
      </c>
      <c r="T749" s="5">
        <f>IF(A749="","",IF(R749="","initial",IF(ABS(R749)&lt;=ShiftThresholdDays,"unchanged",IF(R749&gt;0,"delayed","accelerated"))))</f>
        <v/>
      </c>
    </row>
    <row r="750">
      <c r="A750" s="2" t="n"/>
      <c r="B750" s="2" t="n"/>
      <c r="C750" s="2" t="n"/>
      <c r="D750" s="2" t="n"/>
      <c r="E750" s="2" t="n"/>
      <c r="F750" s="2" t="n"/>
      <c r="G750" s="3" t="n"/>
      <c r="H750" s="2" t="n"/>
      <c r="I750" s="3" t="n"/>
      <c r="J750" s="2" t="n"/>
      <c r="K750" s="2" t="n"/>
      <c r="L750" s="2" t="n"/>
      <c r="M750" s="2" t="n"/>
      <c r="N750" s="2" t="n"/>
      <c r="O750" s="2" t="n"/>
      <c r="P750" s="2" t="n"/>
      <c r="Q750" s="4">
        <f>IF(OR(A750="",E750=""),"",IF(MAXIFS($E$2:$E$1001,$A$2:$A$1001,A750,$E$2:$E$1001,"&lt;"&amp;E750)=0,"",SUMIFS($G$2:$G$1001,$A$2:$A$1001,A750,$E$2:$E$1001,MAXIFS($E$2:$E$1001,$A$2:$A$1001,A750,$E$2:$E$1001,"&lt;"&amp;E750))))</f>
        <v/>
      </c>
      <c r="R750" s="9">
        <f>IF(OR(Q750="",G750=""),"",G750-Q750)</f>
        <v/>
      </c>
      <c r="S750" s="9">
        <f>IF(R750="","",SUMIFS($R$2:$R$1001,$A$2:$A$1001,A750,$E$2:$E$1001,"&lt;="&amp;E750))</f>
        <v/>
      </c>
      <c r="T750" s="5">
        <f>IF(A750="","",IF(R750="","initial",IF(ABS(R750)&lt;=ShiftThresholdDays,"unchanged",IF(R750&gt;0,"delayed","accelerated"))))</f>
        <v/>
      </c>
    </row>
    <row r="751">
      <c r="A751" s="2" t="n"/>
      <c r="B751" s="2" t="n"/>
      <c r="C751" s="2" t="n"/>
      <c r="D751" s="2" t="n"/>
      <c r="E751" s="2" t="n"/>
      <c r="F751" s="2" t="n"/>
      <c r="G751" s="3" t="n"/>
      <c r="H751" s="2" t="n"/>
      <c r="I751" s="3" t="n"/>
      <c r="J751" s="2" t="n"/>
      <c r="K751" s="2" t="n"/>
      <c r="L751" s="2" t="n"/>
      <c r="M751" s="2" t="n"/>
      <c r="N751" s="2" t="n"/>
      <c r="O751" s="2" t="n"/>
      <c r="P751" s="2" t="n"/>
      <c r="Q751" s="4">
        <f>IF(OR(A751="",E751=""),"",IF(MAXIFS($E$2:$E$1001,$A$2:$A$1001,A751,$E$2:$E$1001,"&lt;"&amp;E751)=0,"",SUMIFS($G$2:$G$1001,$A$2:$A$1001,A751,$E$2:$E$1001,MAXIFS($E$2:$E$1001,$A$2:$A$1001,A751,$E$2:$E$1001,"&lt;"&amp;E751))))</f>
        <v/>
      </c>
      <c r="R751" s="9">
        <f>IF(OR(Q751="",G751=""),"",G751-Q751)</f>
        <v/>
      </c>
      <c r="S751" s="9">
        <f>IF(R751="","",SUMIFS($R$2:$R$1001,$A$2:$A$1001,A751,$E$2:$E$1001,"&lt;="&amp;E751))</f>
        <v/>
      </c>
      <c r="T751" s="5">
        <f>IF(A751="","",IF(R751="","initial",IF(ABS(R751)&lt;=ShiftThresholdDays,"unchanged",IF(R751&gt;0,"delayed","accelerated"))))</f>
        <v/>
      </c>
    </row>
    <row r="752">
      <c r="A752" s="2" t="n"/>
      <c r="B752" s="2" t="n"/>
      <c r="C752" s="2" t="n"/>
      <c r="D752" s="2" t="n"/>
      <c r="E752" s="2" t="n"/>
      <c r="F752" s="2" t="n"/>
      <c r="G752" s="3" t="n"/>
      <c r="H752" s="2" t="n"/>
      <c r="I752" s="3" t="n"/>
      <c r="J752" s="2" t="n"/>
      <c r="K752" s="2" t="n"/>
      <c r="L752" s="2" t="n"/>
      <c r="M752" s="2" t="n"/>
      <c r="N752" s="2" t="n"/>
      <c r="O752" s="2" t="n"/>
      <c r="P752" s="2" t="n"/>
      <c r="Q752" s="4">
        <f>IF(OR(A752="",E752=""),"",IF(MAXIFS($E$2:$E$1001,$A$2:$A$1001,A752,$E$2:$E$1001,"&lt;"&amp;E752)=0,"",SUMIFS($G$2:$G$1001,$A$2:$A$1001,A752,$E$2:$E$1001,MAXIFS($E$2:$E$1001,$A$2:$A$1001,A752,$E$2:$E$1001,"&lt;"&amp;E752))))</f>
        <v/>
      </c>
      <c r="R752" s="9">
        <f>IF(OR(Q752="",G752=""),"",G752-Q752)</f>
        <v/>
      </c>
      <c r="S752" s="9">
        <f>IF(R752="","",SUMIFS($R$2:$R$1001,$A$2:$A$1001,A752,$E$2:$E$1001,"&lt;="&amp;E752))</f>
        <v/>
      </c>
      <c r="T752" s="5">
        <f>IF(A752="","",IF(R752="","initial",IF(ABS(R752)&lt;=ShiftThresholdDays,"unchanged",IF(R752&gt;0,"delayed","accelerated"))))</f>
        <v/>
      </c>
    </row>
    <row r="753">
      <c r="A753" s="2" t="n"/>
      <c r="B753" s="2" t="n"/>
      <c r="C753" s="2" t="n"/>
      <c r="D753" s="2" t="n"/>
      <c r="E753" s="2" t="n"/>
      <c r="F753" s="2" t="n"/>
      <c r="G753" s="3" t="n"/>
      <c r="H753" s="2" t="n"/>
      <c r="I753" s="3" t="n"/>
      <c r="J753" s="2" t="n"/>
      <c r="K753" s="2" t="n"/>
      <c r="L753" s="2" t="n"/>
      <c r="M753" s="2" t="n"/>
      <c r="N753" s="2" t="n"/>
      <c r="O753" s="2" t="n"/>
      <c r="P753" s="2" t="n"/>
      <c r="Q753" s="4">
        <f>IF(OR(A753="",E753=""),"",IF(MAXIFS($E$2:$E$1001,$A$2:$A$1001,A753,$E$2:$E$1001,"&lt;"&amp;E753)=0,"",SUMIFS($G$2:$G$1001,$A$2:$A$1001,A753,$E$2:$E$1001,MAXIFS($E$2:$E$1001,$A$2:$A$1001,A753,$E$2:$E$1001,"&lt;"&amp;E753))))</f>
        <v/>
      </c>
      <c r="R753" s="9">
        <f>IF(OR(Q753="",G753=""),"",G753-Q753)</f>
        <v/>
      </c>
      <c r="S753" s="9">
        <f>IF(R753="","",SUMIFS($R$2:$R$1001,$A$2:$A$1001,A753,$E$2:$E$1001,"&lt;="&amp;E753))</f>
        <v/>
      </c>
      <c r="T753" s="5">
        <f>IF(A753="","",IF(R753="","initial",IF(ABS(R753)&lt;=ShiftThresholdDays,"unchanged",IF(R753&gt;0,"delayed","accelerated"))))</f>
        <v/>
      </c>
    </row>
    <row r="754">
      <c r="A754" s="2" t="n"/>
      <c r="B754" s="2" t="n"/>
      <c r="C754" s="2" t="n"/>
      <c r="D754" s="2" t="n"/>
      <c r="E754" s="2" t="n"/>
      <c r="F754" s="2" t="n"/>
      <c r="G754" s="3" t="n"/>
      <c r="H754" s="2" t="n"/>
      <c r="I754" s="3" t="n"/>
      <c r="J754" s="2" t="n"/>
      <c r="K754" s="2" t="n"/>
      <c r="L754" s="2" t="n"/>
      <c r="M754" s="2" t="n"/>
      <c r="N754" s="2" t="n"/>
      <c r="O754" s="2" t="n"/>
      <c r="P754" s="2" t="n"/>
      <c r="Q754" s="4">
        <f>IF(OR(A754="",E754=""),"",IF(MAXIFS($E$2:$E$1001,$A$2:$A$1001,A754,$E$2:$E$1001,"&lt;"&amp;E754)=0,"",SUMIFS($G$2:$G$1001,$A$2:$A$1001,A754,$E$2:$E$1001,MAXIFS($E$2:$E$1001,$A$2:$A$1001,A754,$E$2:$E$1001,"&lt;"&amp;E754))))</f>
        <v/>
      </c>
      <c r="R754" s="9">
        <f>IF(OR(Q754="",G754=""),"",G754-Q754)</f>
        <v/>
      </c>
      <c r="S754" s="9">
        <f>IF(R754="","",SUMIFS($R$2:$R$1001,$A$2:$A$1001,A754,$E$2:$E$1001,"&lt;="&amp;E754))</f>
        <v/>
      </c>
      <c r="T754" s="5">
        <f>IF(A754="","",IF(R754="","initial",IF(ABS(R754)&lt;=ShiftThresholdDays,"unchanged",IF(R754&gt;0,"delayed","accelerated"))))</f>
        <v/>
      </c>
    </row>
    <row r="755">
      <c r="A755" s="2" t="n"/>
      <c r="B755" s="2" t="n"/>
      <c r="C755" s="2" t="n"/>
      <c r="D755" s="2" t="n"/>
      <c r="E755" s="2" t="n"/>
      <c r="F755" s="2" t="n"/>
      <c r="G755" s="3" t="n"/>
      <c r="H755" s="2" t="n"/>
      <c r="I755" s="3" t="n"/>
      <c r="J755" s="2" t="n"/>
      <c r="K755" s="2" t="n"/>
      <c r="L755" s="2" t="n"/>
      <c r="M755" s="2" t="n"/>
      <c r="N755" s="2" t="n"/>
      <c r="O755" s="2" t="n"/>
      <c r="P755" s="2" t="n"/>
      <c r="Q755" s="4">
        <f>IF(OR(A755="",E755=""),"",IF(MAXIFS($E$2:$E$1001,$A$2:$A$1001,A755,$E$2:$E$1001,"&lt;"&amp;E755)=0,"",SUMIFS($G$2:$G$1001,$A$2:$A$1001,A755,$E$2:$E$1001,MAXIFS($E$2:$E$1001,$A$2:$A$1001,A755,$E$2:$E$1001,"&lt;"&amp;E755))))</f>
        <v/>
      </c>
      <c r="R755" s="9">
        <f>IF(OR(Q755="",G755=""),"",G755-Q755)</f>
        <v/>
      </c>
      <c r="S755" s="9">
        <f>IF(R755="","",SUMIFS($R$2:$R$1001,$A$2:$A$1001,A755,$E$2:$E$1001,"&lt;="&amp;E755))</f>
        <v/>
      </c>
      <c r="T755" s="5">
        <f>IF(A755="","",IF(R755="","initial",IF(ABS(R755)&lt;=ShiftThresholdDays,"unchanged",IF(R755&gt;0,"delayed","accelerated"))))</f>
        <v/>
      </c>
    </row>
    <row r="756">
      <c r="A756" s="2" t="n"/>
      <c r="B756" s="2" t="n"/>
      <c r="C756" s="2" t="n"/>
      <c r="D756" s="2" t="n"/>
      <c r="E756" s="2" t="n"/>
      <c r="F756" s="2" t="n"/>
      <c r="G756" s="3" t="n"/>
      <c r="H756" s="2" t="n"/>
      <c r="I756" s="3" t="n"/>
      <c r="J756" s="2" t="n"/>
      <c r="K756" s="2" t="n"/>
      <c r="L756" s="2" t="n"/>
      <c r="M756" s="2" t="n"/>
      <c r="N756" s="2" t="n"/>
      <c r="O756" s="2" t="n"/>
      <c r="P756" s="2" t="n"/>
      <c r="Q756" s="4">
        <f>IF(OR(A756="",E756=""),"",IF(MAXIFS($E$2:$E$1001,$A$2:$A$1001,A756,$E$2:$E$1001,"&lt;"&amp;E756)=0,"",SUMIFS($G$2:$G$1001,$A$2:$A$1001,A756,$E$2:$E$1001,MAXIFS($E$2:$E$1001,$A$2:$A$1001,A756,$E$2:$E$1001,"&lt;"&amp;E756))))</f>
        <v/>
      </c>
      <c r="R756" s="9">
        <f>IF(OR(Q756="",G756=""),"",G756-Q756)</f>
        <v/>
      </c>
      <c r="S756" s="9">
        <f>IF(R756="","",SUMIFS($R$2:$R$1001,$A$2:$A$1001,A756,$E$2:$E$1001,"&lt;="&amp;E756))</f>
        <v/>
      </c>
      <c r="T756" s="5">
        <f>IF(A756="","",IF(R756="","initial",IF(ABS(R756)&lt;=ShiftThresholdDays,"unchanged",IF(R756&gt;0,"delayed","accelerated"))))</f>
        <v/>
      </c>
    </row>
    <row r="757">
      <c r="A757" s="2" t="n"/>
      <c r="B757" s="2" t="n"/>
      <c r="C757" s="2" t="n"/>
      <c r="D757" s="2" t="n"/>
      <c r="E757" s="2" t="n"/>
      <c r="F757" s="2" t="n"/>
      <c r="G757" s="3" t="n"/>
      <c r="H757" s="2" t="n"/>
      <c r="I757" s="3" t="n"/>
      <c r="J757" s="2" t="n"/>
      <c r="K757" s="2" t="n"/>
      <c r="L757" s="2" t="n"/>
      <c r="M757" s="2" t="n"/>
      <c r="N757" s="2" t="n"/>
      <c r="O757" s="2" t="n"/>
      <c r="P757" s="2" t="n"/>
      <c r="Q757" s="4">
        <f>IF(OR(A757="",E757=""),"",IF(MAXIFS($E$2:$E$1001,$A$2:$A$1001,A757,$E$2:$E$1001,"&lt;"&amp;E757)=0,"",SUMIFS($G$2:$G$1001,$A$2:$A$1001,A757,$E$2:$E$1001,MAXIFS($E$2:$E$1001,$A$2:$A$1001,A757,$E$2:$E$1001,"&lt;"&amp;E757))))</f>
        <v/>
      </c>
      <c r="R757" s="9">
        <f>IF(OR(Q757="",G757=""),"",G757-Q757)</f>
        <v/>
      </c>
      <c r="S757" s="9">
        <f>IF(R757="","",SUMIFS($R$2:$R$1001,$A$2:$A$1001,A757,$E$2:$E$1001,"&lt;="&amp;E757))</f>
        <v/>
      </c>
      <c r="T757" s="5">
        <f>IF(A757="","",IF(R757="","initial",IF(ABS(R757)&lt;=ShiftThresholdDays,"unchanged",IF(R757&gt;0,"delayed","accelerated"))))</f>
        <v/>
      </c>
    </row>
    <row r="758">
      <c r="A758" s="2" t="n"/>
      <c r="B758" s="2" t="n"/>
      <c r="C758" s="2" t="n"/>
      <c r="D758" s="2" t="n"/>
      <c r="E758" s="2" t="n"/>
      <c r="F758" s="2" t="n"/>
      <c r="G758" s="3" t="n"/>
      <c r="H758" s="2" t="n"/>
      <c r="I758" s="3" t="n"/>
      <c r="J758" s="2" t="n"/>
      <c r="K758" s="2" t="n"/>
      <c r="L758" s="2" t="n"/>
      <c r="M758" s="2" t="n"/>
      <c r="N758" s="2" t="n"/>
      <c r="O758" s="2" t="n"/>
      <c r="P758" s="2" t="n"/>
      <c r="Q758" s="4">
        <f>IF(OR(A758="",E758=""),"",IF(MAXIFS($E$2:$E$1001,$A$2:$A$1001,A758,$E$2:$E$1001,"&lt;"&amp;E758)=0,"",SUMIFS($G$2:$G$1001,$A$2:$A$1001,A758,$E$2:$E$1001,MAXIFS($E$2:$E$1001,$A$2:$A$1001,A758,$E$2:$E$1001,"&lt;"&amp;E758))))</f>
        <v/>
      </c>
      <c r="R758" s="9">
        <f>IF(OR(Q758="",G758=""),"",G758-Q758)</f>
        <v/>
      </c>
      <c r="S758" s="9">
        <f>IF(R758="","",SUMIFS($R$2:$R$1001,$A$2:$A$1001,A758,$E$2:$E$1001,"&lt;="&amp;E758))</f>
        <v/>
      </c>
      <c r="T758" s="5">
        <f>IF(A758="","",IF(R758="","initial",IF(ABS(R758)&lt;=ShiftThresholdDays,"unchanged",IF(R758&gt;0,"delayed","accelerated"))))</f>
        <v/>
      </c>
    </row>
    <row r="759">
      <c r="A759" s="2" t="n"/>
      <c r="B759" s="2" t="n"/>
      <c r="C759" s="2" t="n"/>
      <c r="D759" s="2" t="n"/>
      <c r="E759" s="2" t="n"/>
      <c r="F759" s="2" t="n"/>
      <c r="G759" s="3" t="n"/>
      <c r="H759" s="2" t="n"/>
      <c r="I759" s="3" t="n"/>
      <c r="J759" s="2" t="n"/>
      <c r="K759" s="2" t="n"/>
      <c r="L759" s="2" t="n"/>
      <c r="M759" s="2" t="n"/>
      <c r="N759" s="2" t="n"/>
      <c r="O759" s="2" t="n"/>
      <c r="P759" s="2" t="n"/>
      <c r="Q759" s="4">
        <f>IF(OR(A759="",E759=""),"",IF(MAXIFS($E$2:$E$1001,$A$2:$A$1001,A759,$E$2:$E$1001,"&lt;"&amp;E759)=0,"",SUMIFS($G$2:$G$1001,$A$2:$A$1001,A759,$E$2:$E$1001,MAXIFS($E$2:$E$1001,$A$2:$A$1001,A759,$E$2:$E$1001,"&lt;"&amp;E759))))</f>
        <v/>
      </c>
      <c r="R759" s="9">
        <f>IF(OR(Q759="",G759=""),"",G759-Q759)</f>
        <v/>
      </c>
      <c r="S759" s="9">
        <f>IF(R759="","",SUMIFS($R$2:$R$1001,$A$2:$A$1001,A759,$E$2:$E$1001,"&lt;="&amp;E759))</f>
        <v/>
      </c>
      <c r="T759" s="5">
        <f>IF(A759="","",IF(R759="","initial",IF(ABS(R759)&lt;=ShiftThresholdDays,"unchanged",IF(R759&gt;0,"delayed","accelerated"))))</f>
        <v/>
      </c>
    </row>
    <row r="760">
      <c r="A760" s="2" t="n"/>
      <c r="B760" s="2" t="n"/>
      <c r="C760" s="2" t="n"/>
      <c r="D760" s="2" t="n"/>
      <c r="E760" s="2" t="n"/>
      <c r="F760" s="2" t="n"/>
      <c r="G760" s="3" t="n"/>
      <c r="H760" s="2" t="n"/>
      <c r="I760" s="3" t="n"/>
      <c r="J760" s="2" t="n"/>
      <c r="K760" s="2" t="n"/>
      <c r="L760" s="2" t="n"/>
      <c r="M760" s="2" t="n"/>
      <c r="N760" s="2" t="n"/>
      <c r="O760" s="2" t="n"/>
      <c r="P760" s="2" t="n"/>
      <c r="Q760" s="4">
        <f>IF(OR(A760="",E760=""),"",IF(MAXIFS($E$2:$E$1001,$A$2:$A$1001,A760,$E$2:$E$1001,"&lt;"&amp;E760)=0,"",SUMIFS($G$2:$G$1001,$A$2:$A$1001,A760,$E$2:$E$1001,MAXIFS($E$2:$E$1001,$A$2:$A$1001,A760,$E$2:$E$1001,"&lt;"&amp;E760))))</f>
        <v/>
      </c>
      <c r="R760" s="9">
        <f>IF(OR(Q760="",G760=""),"",G760-Q760)</f>
        <v/>
      </c>
      <c r="S760" s="9">
        <f>IF(R760="","",SUMIFS($R$2:$R$1001,$A$2:$A$1001,A760,$E$2:$E$1001,"&lt;="&amp;E760))</f>
        <v/>
      </c>
      <c r="T760" s="5">
        <f>IF(A760="","",IF(R760="","initial",IF(ABS(R760)&lt;=ShiftThresholdDays,"unchanged",IF(R760&gt;0,"delayed","accelerated"))))</f>
        <v/>
      </c>
    </row>
    <row r="761">
      <c r="A761" s="2" t="n"/>
      <c r="B761" s="2" t="n"/>
      <c r="C761" s="2" t="n"/>
      <c r="D761" s="2" t="n"/>
      <c r="E761" s="2" t="n"/>
      <c r="F761" s="2" t="n"/>
      <c r="G761" s="3" t="n"/>
      <c r="H761" s="2" t="n"/>
      <c r="I761" s="3" t="n"/>
      <c r="J761" s="2" t="n"/>
      <c r="K761" s="2" t="n"/>
      <c r="L761" s="2" t="n"/>
      <c r="M761" s="2" t="n"/>
      <c r="N761" s="2" t="n"/>
      <c r="O761" s="2" t="n"/>
      <c r="P761" s="2" t="n"/>
      <c r="Q761" s="4">
        <f>IF(OR(A761="",E761=""),"",IF(MAXIFS($E$2:$E$1001,$A$2:$A$1001,A761,$E$2:$E$1001,"&lt;"&amp;E761)=0,"",SUMIFS($G$2:$G$1001,$A$2:$A$1001,A761,$E$2:$E$1001,MAXIFS($E$2:$E$1001,$A$2:$A$1001,A761,$E$2:$E$1001,"&lt;"&amp;E761))))</f>
        <v/>
      </c>
      <c r="R761" s="9">
        <f>IF(OR(Q761="",G761=""),"",G761-Q761)</f>
        <v/>
      </c>
      <c r="S761" s="9">
        <f>IF(R761="","",SUMIFS($R$2:$R$1001,$A$2:$A$1001,A761,$E$2:$E$1001,"&lt;="&amp;E761))</f>
        <v/>
      </c>
      <c r="T761" s="5">
        <f>IF(A761="","",IF(R761="","initial",IF(ABS(R761)&lt;=ShiftThresholdDays,"unchanged",IF(R761&gt;0,"delayed","accelerated"))))</f>
        <v/>
      </c>
    </row>
    <row r="762">
      <c r="A762" s="2" t="n"/>
      <c r="B762" s="2" t="n"/>
      <c r="C762" s="2" t="n"/>
      <c r="D762" s="2" t="n"/>
      <c r="E762" s="2" t="n"/>
      <c r="F762" s="2" t="n"/>
      <c r="G762" s="3" t="n"/>
      <c r="H762" s="2" t="n"/>
      <c r="I762" s="3" t="n"/>
      <c r="J762" s="2" t="n"/>
      <c r="K762" s="2" t="n"/>
      <c r="L762" s="2" t="n"/>
      <c r="M762" s="2" t="n"/>
      <c r="N762" s="2" t="n"/>
      <c r="O762" s="2" t="n"/>
      <c r="P762" s="2" t="n"/>
      <c r="Q762" s="4">
        <f>IF(OR(A762="",E762=""),"",IF(MAXIFS($E$2:$E$1001,$A$2:$A$1001,A762,$E$2:$E$1001,"&lt;"&amp;E762)=0,"",SUMIFS($G$2:$G$1001,$A$2:$A$1001,A762,$E$2:$E$1001,MAXIFS($E$2:$E$1001,$A$2:$A$1001,A762,$E$2:$E$1001,"&lt;"&amp;E762))))</f>
        <v/>
      </c>
      <c r="R762" s="9">
        <f>IF(OR(Q762="",G762=""),"",G762-Q762)</f>
        <v/>
      </c>
      <c r="S762" s="9">
        <f>IF(R762="","",SUMIFS($R$2:$R$1001,$A$2:$A$1001,A762,$E$2:$E$1001,"&lt;="&amp;E762))</f>
        <v/>
      </c>
      <c r="T762" s="5">
        <f>IF(A762="","",IF(R762="","initial",IF(ABS(R762)&lt;=ShiftThresholdDays,"unchanged",IF(R762&gt;0,"delayed","accelerated"))))</f>
        <v/>
      </c>
    </row>
    <row r="763">
      <c r="A763" s="2" t="n"/>
      <c r="B763" s="2" t="n"/>
      <c r="C763" s="2" t="n"/>
      <c r="D763" s="2" t="n"/>
      <c r="E763" s="2" t="n"/>
      <c r="F763" s="2" t="n"/>
      <c r="G763" s="3" t="n"/>
      <c r="H763" s="2" t="n"/>
      <c r="I763" s="3" t="n"/>
      <c r="J763" s="2" t="n"/>
      <c r="K763" s="2" t="n"/>
      <c r="L763" s="2" t="n"/>
      <c r="M763" s="2" t="n"/>
      <c r="N763" s="2" t="n"/>
      <c r="O763" s="2" t="n"/>
      <c r="P763" s="2" t="n"/>
      <c r="Q763" s="4">
        <f>IF(OR(A763="",E763=""),"",IF(MAXIFS($E$2:$E$1001,$A$2:$A$1001,A763,$E$2:$E$1001,"&lt;"&amp;E763)=0,"",SUMIFS($G$2:$G$1001,$A$2:$A$1001,A763,$E$2:$E$1001,MAXIFS($E$2:$E$1001,$A$2:$A$1001,A763,$E$2:$E$1001,"&lt;"&amp;E763))))</f>
        <v/>
      </c>
      <c r="R763" s="9">
        <f>IF(OR(Q763="",G763=""),"",G763-Q763)</f>
        <v/>
      </c>
      <c r="S763" s="9">
        <f>IF(R763="","",SUMIFS($R$2:$R$1001,$A$2:$A$1001,A763,$E$2:$E$1001,"&lt;="&amp;E763))</f>
        <v/>
      </c>
      <c r="T763" s="5">
        <f>IF(A763="","",IF(R763="","initial",IF(ABS(R763)&lt;=ShiftThresholdDays,"unchanged",IF(R763&gt;0,"delayed","accelerated"))))</f>
        <v/>
      </c>
    </row>
    <row r="764">
      <c r="A764" s="2" t="n"/>
      <c r="B764" s="2" t="n"/>
      <c r="C764" s="2" t="n"/>
      <c r="D764" s="2" t="n"/>
      <c r="E764" s="2" t="n"/>
      <c r="F764" s="2" t="n"/>
      <c r="G764" s="3" t="n"/>
      <c r="H764" s="2" t="n"/>
      <c r="I764" s="3" t="n"/>
      <c r="J764" s="2" t="n"/>
      <c r="K764" s="2" t="n"/>
      <c r="L764" s="2" t="n"/>
      <c r="M764" s="2" t="n"/>
      <c r="N764" s="2" t="n"/>
      <c r="O764" s="2" t="n"/>
      <c r="P764" s="2" t="n"/>
      <c r="Q764" s="4">
        <f>IF(OR(A764="",E764=""),"",IF(MAXIFS($E$2:$E$1001,$A$2:$A$1001,A764,$E$2:$E$1001,"&lt;"&amp;E764)=0,"",SUMIFS($G$2:$G$1001,$A$2:$A$1001,A764,$E$2:$E$1001,MAXIFS($E$2:$E$1001,$A$2:$A$1001,A764,$E$2:$E$1001,"&lt;"&amp;E764))))</f>
        <v/>
      </c>
      <c r="R764" s="9">
        <f>IF(OR(Q764="",G764=""),"",G764-Q764)</f>
        <v/>
      </c>
      <c r="S764" s="9">
        <f>IF(R764="","",SUMIFS($R$2:$R$1001,$A$2:$A$1001,A764,$E$2:$E$1001,"&lt;="&amp;E764))</f>
        <v/>
      </c>
      <c r="T764" s="5">
        <f>IF(A764="","",IF(R764="","initial",IF(ABS(R764)&lt;=ShiftThresholdDays,"unchanged",IF(R764&gt;0,"delayed","accelerated"))))</f>
        <v/>
      </c>
    </row>
    <row r="765">
      <c r="A765" s="2" t="n"/>
      <c r="B765" s="2" t="n"/>
      <c r="C765" s="2" t="n"/>
      <c r="D765" s="2" t="n"/>
      <c r="E765" s="2" t="n"/>
      <c r="F765" s="2" t="n"/>
      <c r="G765" s="3" t="n"/>
      <c r="H765" s="2" t="n"/>
      <c r="I765" s="3" t="n"/>
      <c r="J765" s="2" t="n"/>
      <c r="K765" s="2" t="n"/>
      <c r="L765" s="2" t="n"/>
      <c r="M765" s="2" t="n"/>
      <c r="N765" s="2" t="n"/>
      <c r="O765" s="2" t="n"/>
      <c r="P765" s="2" t="n"/>
      <c r="Q765" s="4">
        <f>IF(OR(A765="",E765=""),"",IF(MAXIFS($E$2:$E$1001,$A$2:$A$1001,A765,$E$2:$E$1001,"&lt;"&amp;E765)=0,"",SUMIFS($G$2:$G$1001,$A$2:$A$1001,A765,$E$2:$E$1001,MAXIFS($E$2:$E$1001,$A$2:$A$1001,A765,$E$2:$E$1001,"&lt;"&amp;E765))))</f>
        <v/>
      </c>
      <c r="R765" s="9">
        <f>IF(OR(Q765="",G765=""),"",G765-Q765)</f>
        <v/>
      </c>
      <c r="S765" s="9">
        <f>IF(R765="","",SUMIFS($R$2:$R$1001,$A$2:$A$1001,A765,$E$2:$E$1001,"&lt;="&amp;E765))</f>
        <v/>
      </c>
      <c r="T765" s="5">
        <f>IF(A765="","",IF(R765="","initial",IF(ABS(R765)&lt;=ShiftThresholdDays,"unchanged",IF(R765&gt;0,"delayed","accelerated"))))</f>
        <v/>
      </c>
    </row>
    <row r="766">
      <c r="A766" s="2" t="n"/>
      <c r="B766" s="2" t="n"/>
      <c r="C766" s="2" t="n"/>
      <c r="D766" s="2" t="n"/>
      <c r="E766" s="2" t="n"/>
      <c r="F766" s="2" t="n"/>
      <c r="G766" s="3" t="n"/>
      <c r="H766" s="2" t="n"/>
      <c r="I766" s="3" t="n"/>
      <c r="J766" s="2" t="n"/>
      <c r="K766" s="2" t="n"/>
      <c r="L766" s="2" t="n"/>
      <c r="M766" s="2" t="n"/>
      <c r="N766" s="2" t="n"/>
      <c r="O766" s="2" t="n"/>
      <c r="P766" s="2" t="n"/>
      <c r="Q766" s="4">
        <f>IF(OR(A766="",E766=""),"",IF(MAXIFS($E$2:$E$1001,$A$2:$A$1001,A766,$E$2:$E$1001,"&lt;"&amp;E766)=0,"",SUMIFS($G$2:$G$1001,$A$2:$A$1001,A766,$E$2:$E$1001,MAXIFS($E$2:$E$1001,$A$2:$A$1001,A766,$E$2:$E$1001,"&lt;"&amp;E766))))</f>
        <v/>
      </c>
      <c r="R766" s="9">
        <f>IF(OR(Q766="",G766=""),"",G766-Q766)</f>
        <v/>
      </c>
      <c r="S766" s="9">
        <f>IF(R766="","",SUMIFS($R$2:$R$1001,$A$2:$A$1001,A766,$E$2:$E$1001,"&lt;="&amp;E766))</f>
        <v/>
      </c>
      <c r="T766" s="5">
        <f>IF(A766="","",IF(R766="","initial",IF(ABS(R766)&lt;=ShiftThresholdDays,"unchanged",IF(R766&gt;0,"delayed","accelerated"))))</f>
        <v/>
      </c>
    </row>
    <row r="767">
      <c r="A767" s="2" t="n"/>
      <c r="B767" s="2" t="n"/>
      <c r="C767" s="2" t="n"/>
      <c r="D767" s="2" t="n"/>
      <c r="E767" s="2" t="n"/>
      <c r="F767" s="2" t="n"/>
      <c r="G767" s="3" t="n"/>
      <c r="H767" s="2" t="n"/>
      <c r="I767" s="3" t="n"/>
      <c r="J767" s="2" t="n"/>
      <c r="K767" s="2" t="n"/>
      <c r="L767" s="2" t="n"/>
      <c r="M767" s="2" t="n"/>
      <c r="N767" s="2" t="n"/>
      <c r="O767" s="2" t="n"/>
      <c r="P767" s="2" t="n"/>
      <c r="Q767" s="4">
        <f>IF(OR(A767="",E767=""),"",IF(MAXIFS($E$2:$E$1001,$A$2:$A$1001,A767,$E$2:$E$1001,"&lt;"&amp;E767)=0,"",SUMIFS($G$2:$G$1001,$A$2:$A$1001,A767,$E$2:$E$1001,MAXIFS($E$2:$E$1001,$A$2:$A$1001,A767,$E$2:$E$1001,"&lt;"&amp;E767))))</f>
        <v/>
      </c>
      <c r="R767" s="9">
        <f>IF(OR(Q767="",G767=""),"",G767-Q767)</f>
        <v/>
      </c>
      <c r="S767" s="9">
        <f>IF(R767="","",SUMIFS($R$2:$R$1001,$A$2:$A$1001,A767,$E$2:$E$1001,"&lt;="&amp;E767))</f>
        <v/>
      </c>
      <c r="T767" s="5">
        <f>IF(A767="","",IF(R767="","initial",IF(ABS(R767)&lt;=ShiftThresholdDays,"unchanged",IF(R767&gt;0,"delayed","accelerated"))))</f>
        <v/>
      </c>
    </row>
    <row r="768">
      <c r="A768" s="2" t="n"/>
      <c r="B768" s="2" t="n"/>
      <c r="C768" s="2" t="n"/>
      <c r="D768" s="2" t="n"/>
      <c r="E768" s="2" t="n"/>
      <c r="F768" s="2" t="n"/>
      <c r="G768" s="3" t="n"/>
      <c r="H768" s="2" t="n"/>
      <c r="I768" s="3" t="n"/>
      <c r="J768" s="2" t="n"/>
      <c r="K768" s="2" t="n"/>
      <c r="L768" s="2" t="n"/>
      <c r="M768" s="2" t="n"/>
      <c r="N768" s="2" t="n"/>
      <c r="O768" s="2" t="n"/>
      <c r="P768" s="2" t="n"/>
      <c r="Q768" s="4">
        <f>IF(OR(A768="",E768=""),"",IF(MAXIFS($E$2:$E$1001,$A$2:$A$1001,A768,$E$2:$E$1001,"&lt;"&amp;E768)=0,"",SUMIFS($G$2:$G$1001,$A$2:$A$1001,A768,$E$2:$E$1001,MAXIFS($E$2:$E$1001,$A$2:$A$1001,A768,$E$2:$E$1001,"&lt;"&amp;E768))))</f>
        <v/>
      </c>
      <c r="R768" s="9">
        <f>IF(OR(Q768="",G768=""),"",G768-Q768)</f>
        <v/>
      </c>
      <c r="S768" s="9">
        <f>IF(R768="","",SUMIFS($R$2:$R$1001,$A$2:$A$1001,A768,$E$2:$E$1001,"&lt;="&amp;E768))</f>
        <v/>
      </c>
      <c r="T768" s="5">
        <f>IF(A768="","",IF(R768="","initial",IF(ABS(R768)&lt;=ShiftThresholdDays,"unchanged",IF(R768&gt;0,"delayed","accelerated"))))</f>
        <v/>
      </c>
    </row>
    <row r="769">
      <c r="A769" s="2" t="n"/>
      <c r="B769" s="2" t="n"/>
      <c r="C769" s="2" t="n"/>
      <c r="D769" s="2" t="n"/>
      <c r="E769" s="2" t="n"/>
      <c r="F769" s="2" t="n"/>
      <c r="G769" s="3" t="n"/>
      <c r="H769" s="2" t="n"/>
      <c r="I769" s="3" t="n"/>
      <c r="J769" s="2" t="n"/>
      <c r="K769" s="2" t="n"/>
      <c r="L769" s="2" t="n"/>
      <c r="M769" s="2" t="n"/>
      <c r="N769" s="2" t="n"/>
      <c r="O769" s="2" t="n"/>
      <c r="P769" s="2" t="n"/>
      <c r="Q769" s="4">
        <f>IF(OR(A769="",E769=""),"",IF(MAXIFS($E$2:$E$1001,$A$2:$A$1001,A769,$E$2:$E$1001,"&lt;"&amp;E769)=0,"",SUMIFS($G$2:$G$1001,$A$2:$A$1001,A769,$E$2:$E$1001,MAXIFS($E$2:$E$1001,$A$2:$A$1001,A769,$E$2:$E$1001,"&lt;"&amp;E769))))</f>
        <v/>
      </c>
      <c r="R769" s="9">
        <f>IF(OR(Q769="",G769=""),"",G769-Q769)</f>
        <v/>
      </c>
      <c r="S769" s="9">
        <f>IF(R769="","",SUMIFS($R$2:$R$1001,$A$2:$A$1001,A769,$E$2:$E$1001,"&lt;="&amp;E769))</f>
        <v/>
      </c>
      <c r="T769" s="5">
        <f>IF(A769="","",IF(R769="","initial",IF(ABS(R769)&lt;=ShiftThresholdDays,"unchanged",IF(R769&gt;0,"delayed","accelerated"))))</f>
        <v/>
      </c>
    </row>
    <row r="770">
      <c r="A770" s="2" t="n"/>
      <c r="B770" s="2" t="n"/>
      <c r="C770" s="2" t="n"/>
      <c r="D770" s="2" t="n"/>
      <c r="E770" s="2" t="n"/>
      <c r="F770" s="2" t="n"/>
      <c r="G770" s="3" t="n"/>
      <c r="H770" s="2" t="n"/>
      <c r="I770" s="3" t="n"/>
      <c r="J770" s="2" t="n"/>
      <c r="K770" s="2" t="n"/>
      <c r="L770" s="2" t="n"/>
      <c r="M770" s="2" t="n"/>
      <c r="N770" s="2" t="n"/>
      <c r="O770" s="2" t="n"/>
      <c r="P770" s="2" t="n"/>
      <c r="Q770" s="4">
        <f>IF(OR(A770="",E770=""),"",IF(MAXIFS($E$2:$E$1001,$A$2:$A$1001,A770,$E$2:$E$1001,"&lt;"&amp;E770)=0,"",SUMIFS($G$2:$G$1001,$A$2:$A$1001,A770,$E$2:$E$1001,MAXIFS($E$2:$E$1001,$A$2:$A$1001,A770,$E$2:$E$1001,"&lt;"&amp;E770))))</f>
        <v/>
      </c>
      <c r="R770" s="9">
        <f>IF(OR(Q770="",G770=""),"",G770-Q770)</f>
        <v/>
      </c>
      <c r="S770" s="9">
        <f>IF(R770="","",SUMIFS($R$2:$R$1001,$A$2:$A$1001,A770,$E$2:$E$1001,"&lt;="&amp;E770))</f>
        <v/>
      </c>
      <c r="T770" s="5">
        <f>IF(A770="","",IF(R770="","initial",IF(ABS(R770)&lt;=ShiftThresholdDays,"unchanged",IF(R770&gt;0,"delayed","accelerated"))))</f>
        <v/>
      </c>
    </row>
    <row r="771">
      <c r="A771" s="2" t="n"/>
      <c r="B771" s="2" t="n"/>
      <c r="C771" s="2" t="n"/>
      <c r="D771" s="2" t="n"/>
      <c r="E771" s="2" t="n"/>
      <c r="F771" s="2" t="n"/>
      <c r="G771" s="3" t="n"/>
      <c r="H771" s="2" t="n"/>
      <c r="I771" s="3" t="n"/>
      <c r="J771" s="2" t="n"/>
      <c r="K771" s="2" t="n"/>
      <c r="L771" s="2" t="n"/>
      <c r="M771" s="2" t="n"/>
      <c r="N771" s="2" t="n"/>
      <c r="O771" s="2" t="n"/>
      <c r="P771" s="2" t="n"/>
      <c r="Q771" s="4">
        <f>IF(OR(A771="",E771=""),"",IF(MAXIFS($E$2:$E$1001,$A$2:$A$1001,A771,$E$2:$E$1001,"&lt;"&amp;E771)=0,"",SUMIFS($G$2:$G$1001,$A$2:$A$1001,A771,$E$2:$E$1001,MAXIFS($E$2:$E$1001,$A$2:$A$1001,A771,$E$2:$E$1001,"&lt;"&amp;E771))))</f>
        <v/>
      </c>
      <c r="R771" s="9">
        <f>IF(OR(Q771="",G771=""),"",G771-Q771)</f>
        <v/>
      </c>
      <c r="S771" s="9">
        <f>IF(R771="","",SUMIFS($R$2:$R$1001,$A$2:$A$1001,A771,$E$2:$E$1001,"&lt;="&amp;E771))</f>
        <v/>
      </c>
      <c r="T771" s="5">
        <f>IF(A771="","",IF(R771="","initial",IF(ABS(R771)&lt;=ShiftThresholdDays,"unchanged",IF(R771&gt;0,"delayed","accelerated"))))</f>
        <v/>
      </c>
    </row>
    <row r="772">
      <c r="A772" s="2" t="n"/>
      <c r="B772" s="2" t="n"/>
      <c r="C772" s="2" t="n"/>
      <c r="D772" s="2" t="n"/>
      <c r="E772" s="2" t="n"/>
      <c r="F772" s="2" t="n"/>
      <c r="G772" s="3" t="n"/>
      <c r="H772" s="2" t="n"/>
      <c r="I772" s="3" t="n"/>
      <c r="J772" s="2" t="n"/>
      <c r="K772" s="2" t="n"/>
      <c r="L772" s="2" t="n"/>
      <c r="M772" s="2" t="n"/>
      <c r="N772" s="2" t="n"/>
      <c r="O772" s="2" t="n"/>
      <c r="P772" s="2" t="n"/>
      <c r="Q772" s="4">
        <f>IF(OR(A772="",E772=""),"",IF(MAXIFS($E$2:$E$1001,$A$2:$A$1001,A772,$E$2:$E$1001,"&lt;"&amp;E772)=0,"",SUMIFS($G$2:$G$1001,$A$2:$A$1001,A772,$E$2:$E$1001,MAXIFS($E$2:$E$1001,$A$2:$A$1001,A772,$E$2:$E$1001,"&lt;"&amp;E772))))</f>
        <v/>
      </c>
      <c r="R772" s="9">
        <f>IF(OR(Q772="",G772=""),"",G772-Q772)</f>
        <v/>
      </c>
      <c r="S772" s="9">
        <f>IF(R772="","",SUMIFS($R$2:$R$1001,$A$2:$A$1001,A772,$E$2:$E$1001,"&lt;="&amp;E772))</f>
        <v/>
      </c>
      <c r="T772" s="5">
        <f>IF(A772="","",IF(R772="","initial",IF(ABS(R772)&lt;=ShiftThresholdDays,"unchanged",IF(R772&gt;0,"delayed","accelerated"))))</f>
        <v/>
      </c>
    </row>
    <row r="773">
      <c r="A773" s="2" t="n"/>
      <c r="B773" s="2" t="n"/>
      <c r="C773" s="2" t="n"/>
      <c r="D773" s="2" t="n"/>
      <c r="E773" s="2" t="n"/>
      <c r="F773" s="2" t="n"/>
      <c r="G773" s="3" t="n"/>
      <c r="H773" s="2" t="n"/>
      <c r="I773" s="3" t="n"/>
      <c r="J773" s="2" t="n"/>
      <c r="K773" s="2" t="n"/>
      <c r="L773" s="2" t="n"/>
      <c r="M773" s="2" t="n"/>
      <c r="N773" s="2" t="n"/>
      <c r="O773" s="2" t="n"/>
      <c r="P773" s="2" t="n"/>
      <c r="Q773" s="4">
        <f>IF(OR(A773="",E773=""),"",IF(MAXIFS($E$2:$E$1001,$A$2:$A$1001,A773,$E$2:$E$1001,"&lt;"&amp;E773)=0,"",SUMIFS($G$2:$G$1001,$A$2:$A$1001,A773,$E$2:$E$1001,MAXIFS($E$2:$E$1001,$A$2:$A$1001,A773,$E$2:$E$1001,"&lt;"&amp;E773))))</f>
        <v/>
      </c>
      <c r="R773" s="9">
        <f>IF(OR(Q773="",G773=""),"",G773-Q773)</f>
        <v/>
      </c>
      <c r="S773" s="9">
        <f>IF(R773="","",SUMIFS($R$2:$R$1001,$A$2:$A$1001,A773,$E$2:$E$1001,"&lt;="&amp;E773))</f>
        <v/>
      </c>
      <c r="T773" s="5">
        <f>IF(A773="","",IF(R773="","initial",IF(ABS(R773)&lt;=ShiftThresholdDays,"unchanged",IF(R773&gt;0,"delayed","accelerated"))))</f>
        <v/>
      </c>
    </row>
    <row r="774">
      <c r="A774" s="2" t="n"/>
      <c r="B774" s="2" t="n"/>
      <c r="C774" s="2" t="n"/>
      <c r="D774" s="2" t="n"/>
      <c r="E774" s="2" t="n"/>
      <c r="F774" s="2" t="n"/>
      <c r="G774" s="3" t="n"/>
      <c r="H774" s="2" t="n"/>
      <c r="I774" s="3" t="n"/>
      <c r="J774" s="2" t="n"/>
      <c r="K774" s="2" t="n"/>
      <c r="L774" s="2" t="n"/>
      <c r="M774" s="2" t="n"/>
      <c r="N774" s="2" t="n"/>
      <c r="O774" s="2" t="n"/>
      <c r="P774" s="2" t="n"/>
      <c r="Q774" s="4">
        <f>IF(OR(A774="",E774=""),"",IF(MAXIFS($E$2:$E$1001,$A$2:$A$1001,A774,$E$2:$E$1001,"&lt;"&amp;E774)=0,"",SUMIFS($G$2:$G$1001,$A$2:$A$1001,A774,$E$2:$E$1001,MAXIFS($E$2:$E$1001,$A$2:$A$1001,A774,$E$2:$E$1001,"&lt;"&amp;E774))))</f>
        <v/>
      </c>
      <c r="R774" s="9">
        <f>IF(OR(Q774="",G774=""),"",G774-Q774)</f>
        <v/>
      </c>
      <c r="S774" s="9">
        <f>IF(R774="","",SUMIFS($R$2:$R$1001,$A$2:$A$1001,A774,$E$2:$E$1001,"&lt;="&amp;E774))</f>
        <v/>
      </c>
      <c r="T774" s="5">
        <f>IF(A774="","",IF(R774="","initial",IF(ABS(R774)&lt;=ShiftThresholdDays,"unchanged",IF(R774&gt;0,"delayed","accelerated"))))</f>
        <v/>
      </c>
    </row>
    <row r="775">
      <c r="A775" s="2" t="n"/>
      <c r="B775" s="2" t="n"/>
      <c r="C775" s="2" t="n"/>
      <c r="D775" s="2" t="n"/>
      <c r="E775" s="2" t="n"/>
      <c r="F775" s="2" t="n"/>
      <c r="G775" s="3" t="n"/>
      <c r="H775" s="2" t="n"/>
      <c r="I775" s="3" t="n"/>
      <c r="J775" s="2" t="n"/>
      <c r="K775" s="2" t="n"/>
      <c r="L775" s="2" t="n"/>
      <c r="M775" s="2" t="n"/>
      <c r="N775" s="2" t="n"/>
      <c r="O775" s="2" t="n"/>
      <c r="P775" s="2" t="n"/>
      <c r="Q775" s="4">
        <f>IF(OR(A775="",E775=""),"",IF(MAXIFS($E$2:$E$1001,$A$2:$A$1001,A775,$E$2:$E$1001,"&lt;"&amp;E775)=0,"",SUMIFS($G$2:$G$1001,$A$2:$A$1001,A775,$E$2:$E$1001,MAXIFS($E$2:$E$1001,$A$2:$A$1001,A775,$E$2:$E$1001,"&lt;"&amp;E775))))</f>
        <v/>
      </c>
      <c r="R775" s="9">
        <f>IF(OR(Q775="",G775=""),"",G775-Q775)</f>
        <v/>
      </c>
      <c r="S775" s="9">
        <f>IF(R775="","",SUMIFS($R$2:$R$1001,$A$2:$A$1001,A775,$E$2:$E$1001,"&lt;="&amp;E775))</f>
        <v/>
      </c>
      <c r="T775" s="5">
        <f>IF(A775="","",IF(R775="","initial",IF(ABS(R775)&lt;=ShiftThresholdDays,"unchanged",IF(R775&gt;0,"delayed","accelerated"))))</f>
        <v/>
      </c>
    </row>
    <row r="776">
      <c r="A776" s="2" t="n"/>
      <c r="B776" s="2" t="n"/>
      <c r="C776" s="2" t="n"/>
      <c r="D776" s="2" t="n"/>
      <c r="E776" s="2" t="n"/>
      <c r="F776" s="2" t="n"/>
      <c r="G776" s="3" t="n"/>
      <c r="H776" s="2" t="n"/>
      <c r="I776" s="3" t="n"/>
      <c r="J776" s="2" t="n"/>
      <c r="K776" s="2" t="n"/>
      <c r="L776" s="2" t="n"/>
      <c r="M776" s="2" t="n"/>
      <c r="N776" s="2" t="n"/>
      <c r="O776" s="2" t="n"/>
      <c r="P776" s="2" t="n"/>
      <c r="Q776" s="4">
        <f>IF(OR(A776="",E776=""),"",IF(MAXIFS($E$2:$E$1001,$A$2:$A$1001,A776,$E$2:$E$1001,"&lt;"&amp;E776)=0,"",SUMIFS($G$2:$G$1001,$A$2:$A$1001,A776,$E$2:$E$1001,MAXIFS($E$2:$E$1001,$A$2:$A$1001,A776,$E$2:$E$1001,"&lt;"&amp;E776))))</f>
        <v/>
      </c>
      <c r="R776" s="9">
        <f>IF(OR(Q776="",G776=""),"",G776-Q776)</f>
        <v/>
      </c>
      <c r="S776" s="9">
        <f>IF(R776="","",SUMIFS($R$2:$R$1001,$A$2:$A$1001,A776,$E$2:$E$1001,"&lt;="&amp;E776))</f>
        <v/>
      </c>
      <c r="T776" s="5">
        <f>IF(A776="","",IF(R776="","initial",IF(ABS(R776)&lt;=ShiftThresholdDays,"unchanged",IF(R776&gt;0,"delayed","accelerated"))))</f>
        <v/>
      </c>
    </row>
    <row r="777">
      <c r="A777" s="2" t="n"/>
      <c r="B777" s="2" t="n"/>
      <c r="C777" s="2" t="n"/>
      <c r="D777" s="2" t="n"/>
      <c r="E777" s="2" t="n"/>
      <c r="F777" s="2" t="n"/>
      <c r="G777" s="3" t="n"/>
      <c r="H777" s="2" t="n"/>
      <c r="I777" s="3" t="n"/>
      <c r="J777" s="2" t="n"/>
      <c r="K777" s="2" t="n"/>
      <c r="L777" s="2" t="n"/>
      <c r="M777" s="2" t="n"/>
      <c r="N777" s="2" t="n"/>
      <c r="O777" s="2" t="n"/>
      <c r="P777" s="2" t="n"/>
      <c r="Q777" s="4">
        <f>IF(OR(A777="",E777=""),"",IF(MAXIFS($E$2:$E$1001,$A$2:$A$1001,A777,$E$2:$E$1001,"&lt;"&amp;E777)=0,"",SUMIFS($G$2:$G$1001,$A$2:$A$1001,A777,$E$2:$E$1001,MAXIFS($E$2:$E$1001,$A$2:$A$1001,A777,$E$2:$E$1001,"&lt;"&amp;E777))))</f>
        <v/>
      </c>
      <c r="R777" s="9">
        <f>IF(OR(Q777="",G777=""),"",G777-Q777)</f>
        <v/>
      </c>
      <c r="S777" s="9">
        <f>IF(R777="","",SUMIFS($R$2:$R$1001,$A$2:$A$1001,A777,$E$2:$E$1001,"&lt;="&amp;E777))</f>
        <v/>
      </c>
      <c r="T777" s="5">
        <f>IF(A777="","",IF(R777="","initial",IF(ABS(R777)&lt;=ShiftThresholdDays,"unchanged",IF(R777&gt;0,"delayed","accelerated"))))</f>
        <v/>
      </c>
    </row>
    <row r="778">
      <c r="A778" s="2" t="n"/>
      <c r="B778" s="2" t="n"/>
      <c r="C778" s="2" t="n"/>
      <c r="D778" s="2" t="n"/>
      <c r="E778" s="2" t="n"/>
      <c r="F778" s="2" t="n"/>
      <c r="G778" s="3" t="n"/>
      <c r="H778" s="2" t="n"/>
      <c r="I778" s="3" t="n"/>
      <c r="J778" s="2" t="n"/>
      <c r="K778" s="2" t="n"/>
      <c r="L778" s="2" t="n"/>
      <c r="M778" s="2" t="n"/>
      <c r="N778" s="2" t="n"/>
      <c r="O778" s="2" t="n"/>
      <c r="P778" s="2" t="n"/>
      <c r="Q778" s="4">
        <f>IF(OR(A778="",E778=""),"",IF(MAXIFS($E$2:$E$1001,$A$2:$A$1001,A778,$E$2:$E$1001,"&lt;"&amp;E778)=0,"",SUMIFS($G$2:$G$1001,$A$2:$A$1001,A778,$E$2:$E$1001,MAXIFS($E$2:$E$1001,$A$2:$A$1001,A778,$E$2:$E$1001,"&lt;"&amp;E778))))</f>
        <v/>
      </c>
      <c r="R778" s="9">
        <f>IF(OR(Q778="",G778=""),"",G778-Q778)</f>
        <v/>
      </c>
      <c r="S778" s="9">
        <f>IF(R778="","",SUMIFS($R$2:$R$1001,$A$2:$A$1001,A778,$E$2:$E$1001,"&lt;="&amp;E778))</f>
        <v/>
      </c>
      <c r="T778" s="5">
        <f>IF(A778="","",IF(R778="","initial",IF(ABS(R778)&lt;=ShiftThresholdDays,"unchanged",IF(R778&gt;0,"delayed","accelerated"))))</f>
        <v/>
      </c>
    </row>
    <row r="779">
      <c r="A779" s="2" t="n"/>
      <c r="B779" s="2" t="n"/>
      <c r="C779" s="2" t="n"/>
      <c r="D779" s="2" t="n"/>
      <c r="E779" s="2" t="n"/>
      <c r="F779" s="2" t="n"/>
      <c r="G779" s="3" t="n"/>
      <c r="H779" s="2" t="n"/>
      <c r="I779" s="3" t="n"/>
      <c r="J779" s="2" t="n"/>
      <c r="K779" s="2" t="n"/>
      <c r="L779" s="2" t="n"/>
      <c r="M779" s="2" t="n"/>
      <c r="N779" s="2" t="n"/>
      <c r="O779" s="2" t="n"/>
      <c r="P779" s="2" t="n"/>
      <c r="Q779" s="4">
        <f>IF(OR(A779="",E779=""),"",IF(MAXIFS($E$2:$E$1001,$A$2:$A$1001,A779,$E$2:$E$1001,"&lt;"&amp;E779)=0,"",SUMIFS($G$2:$G$1001,$A$2:$A$1001,A779,$E$2:$E$1001,MAXIFS($E$2:$E$1001,$A$2:$A$1001,A779,$E$2:$E$1001,"&lt;"&amp;E779))))</f>
        <v/>
      </c>
      <c r="R779" s="9">
        <f>IF(OR(Q779="",G779=""),"",G779-Q779)</f>
        <v/>
      </c>
      <c r="S779" s="9">
        <f>IF(R779="","",SUMIFS($R$2:$R$1001,$A$2:$A$1001,A779,$E$2:$E$1001,"&lt;="&amp;E779))</f>
        <v/>
      </c>
      <c r="T779" s="5">
        <f>IF(A779="","",IF(R779="","initial",IF(ABS(R779)&lt;=ShiftThresholdDays,"unchanged",IF(R779&gt;0,"delayed","accelerated"))))</f>
        <v/>
      </c>
    </row>
    <row r="780">
      <c r="A780" s="2" t="n"/>
      <c r="B780" s="2" t="n"/>
      <c r="C780" s="2" t="n"/>
      <c r="D780" s="2" t="n"/>
      <c r="E780" s="2" t="n"/>
      <c r="F780" s="2" t="n"/>
      <c r="G780" s="3" t="n"/>
      <c r="H780" s="2" t="n"/>
      <c r="I780" s="3" t="n"/>
      <c r="J780" s="2" t="n"/>
      <c r="K780" s="2" t="n"/>
      <c r="L780" s="2" t="n"/>
      <c r="M780" s="2" t="n"/>
      <c r="N780" s="2" t="n"/>
      <c r="O780" s="2" t="n"/>
      <c r="P780" s="2" t="n"/>
      <c r="Q780" s="4">
        <f>IF(OR(A780="",E780=""),"",IF(MAXIFS($E$2:$E$1001,$A$2:$A$1001,A780,$E$2:$E$1001,"&lt;"&amp;E780)=0,"",SUMIFS($G$2:$G$1001,$A$2:$A$1001,A780,$E$2:$E$1001,MAXIFS($E$2:$E$1001,$A$2:$A$1001,A780,$E$2:$E$1001,"&lt;"&amp;E780))))</f>
        <v/>
      </c>
      <c r="R780" s="9">
        <f>IF(OR(Q780="",G780=""),"",G780-Q780)</f>
        <v/>
      </c>
      <c r="S780" s="9">
        <f>IF(R780="","",SUMIFS($R$2:$R$1001,$A$2:$A$1001,A780,$E$2:$E$1001,"&lt;="&amp;E780))</f>
        <v/>
      </c>
      <c r="T780" s="5">
        <f>IF(A780="","",IF(R780="","initial",IF(ABS(R780)&lt;=ShiftThresholdDays,"unchanged",IF(R780&gt;0,"delayed","accelerated"))))</f>
        <v/>
      </c>
    </row>
    <row r="781">
      <c r="A781" s="2" t="n"/>
      <c r="B781" s="2" t="n"/>
      <c r="C781" s="2" t="n"/>
      <c r="D781" s="2" t="n"/>
      <c r="E781" s="2" t="n"/>
      <c r="F781" s="2" t="n"/>
      <c r="G781" s="3" t="n"/>
      <c r="H781" s="2" t="n"/>
      <c r="I781" s="3" t="n"/>
      <c r="J781" s="2" t="n"/>
      <c r="K781" s="2" t="n"/>
      <c r="L781" s="2" t="n"/>
      <c r="M781" s="2" t="n"/>
      <c r="N781" s="2" t="n"/>
      <c r="O781" s="2" t="n"/>
      <c r="P781" s="2" t="n"/>
      <c r="Q781" s="4">
        <f>IF(OR(A781="",E781=""),"",IF(MAXIFS($E$2:$E$1001,$A$2:$A$1001,A781,$E$2:$E$1001,"&lt;"&amp;E781)=0,"",SUMIFS($G$2:$G$1001,$A$2:$A$1001,A781,$E$2:$E$1001,MAXIFS($E$2:$E$1001,$A$2:$A$1001,A781,$E$2:$E$1001,"&lt;"&amp;E781))))</f>
        <v/>
      </c>
      <c r="R781" s="9">
        <f>IF(OR(Q781="",G781=""),"",G781-Q781)</f>
        <v/>
      </c>
      <c r="S781" s="9">
        <f>IF(R781="","",SUMIFS($R$2:$R$1001,$A$2:$A$1001,A781,$E$2:$E$1001,"&lt;="&amp;E781))</f>
        <v/>
      </c>
      <c r="T781" s="5">
        <f>IF(A781="","",IF(R781="","initial",IF(ABS(R781)&lt;=ShiftThresholdDays,"unchanged",IF(R781&gt;0,"delayed","accelerated"))))</f>
        <v/>
      </c>
    </row>
    <row r="782">
      <c r="A782" s="2" t="n"/>
      <c r="B782" s="2" t="n"/>
      <c r="C782" s="2" t="n"/>
      <c r="D782" s="2" t="n"/>
      <c r="E782" s="2" t="n"/>
      <c r="F782" s="2" t="n"/>
      <c r="G782" s="3" t="n"/>
      <c r="H782" s="2" t="n"/>
      <c r="I782" s="3" t="n"/>
      <c r="J782" s="2" t="n"/>
      <c r="K782" s="2" t="n"/>
      <c r="L782" s="2" t="n"/>
      <c r="M782" s="2" t="n"/>
      <c r="N782" s="2" t="n"/>
      <c r="O782" s="2" t="n"/>
      <c r="P782" s="2" t="n"/>
      <c r="Q782" s="4">
        <f>IF(OR(A782="",E782=""),"",IF(MAXIFS($E$2:$E$1001,$A$2:$A$1001,A782,$E$2:$E$1001,"&lt;"&amp;E782)=0,"",SUMIFS($G$2:$G$1001,$A$2:$A$1001,A782,$E$2:$E$1001,MAXIFS($E$2:$E$1001,$A$2:$A$1001,A782,$E$2:$E$1001,"&lt;"&amp;E782))))</f>
        <v/>
      </c>
      <c r="R782" s="9">
        <f>IF(OR(Q782="",G782=""),"",G782-Q782)</f>
        <v/>
      </c>
      <c r="S782" s="9">
        <f>IF(R782="","",SUMIFS($R$2:$R$1001,$A$2:$A$1001,A782,$E$2:$E$1001,"&lt;="&amp;E782))</f>
        <v/>
      </c>
      <c r="T782" s="5">
        <f>IF(A782="","",IF(R782="","initial",IF(ABS(R782)&lt;=ShiftThresholdDays,"unchanged",IF(R782&gt;0,"delayed","accelerated"))))</f>
        <v/>
      </c>
    </row>
    <row r="783">
      <c r="A783" s="2" t="n"/>
      <c r="B783" s="2" t="n"/>
      <c r="C783" s="2" t="n"/>
      <c r="D783" s="2" t="n"/>
      <c r="E783" s="2" t="n"/>
      <c r="F783" s="2" t="n"/>
      <c r="G783" s="3" t="n"/>
      <c r="H783" s="2" t="n"/>
      <c r="I783" s="3" t="n"/>
      <c r="J783" s="2" t="n"/>
      <c r="K783" s="2" t="n"/>
      <c r="L783" s="2" t="n"/>
      <c r="M783" s="2" t="n"/>
      <c r="N783" s="2" t="n"/>
      <c r="O783" s="2" t="n"/>
      <c r="P783" s="2" t="n"/>
      <c r="Q783" s="4">
        <f>IF(OR(A783="",E783=""),"",IF(MAXIFS($E$2:$E$1001,$A$2:$A$1001,A783,$E$2:$E$1001,"&lt;"&amp;E783)=0,"",SUMIFS($G$2:$G$1001,$A$2:$A$1001,A783,$E$2:$E$1001,MAXIFS($E$2:$E$1001,$A$2:$A$1001,A783,$E$2:$E$1001,"&lt;"&amp;E783))))</f>
        <v/>
      </c>
      <c r="R783" s="9">
        <f>IF(OR(Q783="",G783=""),"",G783-Q783)</f>
        <v/>
      </c>
      <c r="S783" s="9">
        <f>IF(R783="","",SUMIFS($R$2:$R$1001,$A$2:$A$1001,A783,$E$2:$E$1001,"&lt;="&amp;E783))</f>
        <v/>
      </c>
      <c r="T783" s="5">
        <f>IF(A783="","",IF(R783="","initial",IF(ABS(R783)&lt;=ShiftThresholdDays,"unchanged",IF(R783&gt;0,"delayed","accelerated"))))</f>
        <v/>
      </c>
    </row>
    <row r="784">
      <c r="A784" s="2" t="n"/>
      <c r="B784" s="2" t="n"/>
      <c r="C784" s="2" t="n"/>
      <c r="D784" s="2" t="n"/>
      <c r="E784" s="2" t="n"/>
      <c r="F784" s="2" t="n"/>
      <c r="G784" s="3" t="n"/>
      <c r="H784" s="2" t="n"/>
      <c r="I784" s="3" t="n"/>
      <c r="J784" s="2" t="n"/>
      <c r="K784" s="2" t="n"/>
      <c r="L784" s="2" t="n"/>
      <c r="M784" s="2" t="n"/>
      <c r="N784" s="2" t="n"/>
      <c r="O784" s="2" t="n"/>
      <c r="P784" s="2" t="n"/>
      <c r="Q784" s="4">
        <f>IF(OR(A784="",E784=""),"",IF(MAXIFS($E$2:$E$1001,$A$2:$A$1001,A784,$E$2:$E$1001,"&lt;"&amp;E784)=0,"",SUMIFS($G$2:$G$1001,$A$2:$A$1001,A784,$E$2:$E$1001,MAXIFS($E$2:$E$1001,$A$2:$A$1001,A784,$E$2:$E$1001,"&lt;"&amp;E784))))</f>
        <v/>
      </c>
      <c r="R784" s="9">
        <f>IF(OR(Q784="",G784=""),"",G784-Q784)</f>
        <v/>
      </c>
      <c r="S784" s="9">
        <f>IF(R784="","",SUMIFS($R$2:$R$1001,$A$2:$A$1001,A784,$E$2:$E$1001,"&lt;="&amp;E784))</f>
        <v/>
      </c>
      <c r="T784" s="5">
        <f>IF(A784="","",IF(R784="","initial",IF(ABS(R784)&lt;=ShiftThresholdDays,"unchanged",IF(R784&gt;0,"delayed","accelerated"))))</f>
        <v/>
      </c>
    </row>
    <row r="785">
      <c r="A785" s="2" t="n"/>
      <c r="B785" s="2" t="n"/>
      <c r="C785" s="2" t="n"/>
      <c r="D785" s="2" t="n"/>
      <c r="E785" s="2" t="n"/>
      <c r="F785" s="2" t="n"/>
      <c r="G785" s="3" t="n"/>
      <c r="H785" s="2" t="n"/>
      <c r="I785" s="3" t="n"/>
      <c r="J785" s="2" t="n"/>
      <c r="K785" s="2" t="n"/>
      <c r="L785" s="2" t="n"/>
      <c r="M785" s="2" t="n"/>
      <c r="N785" s="2" t="n"/>
      <c r="O785" s="2" t="n"/>
      <c r="P785" s="2" t="n"/>
      <c r="Q785" s="4">
        <f>IF(OR(A785="",E785=""),"",IF(MAXIFS($E$2:$E$1001,$A$2:$A$1001,A785,$E$2:$E$1001,"&lt;"&amp;E785)=0,"",SUMIFS($G$2:$G$1001,$A$2:$A$1001,A785,$E$2:$E$1001,MAXIFS($E$2:$E$1001,$A$2:$A$1001,A785,$E$2:$E$1001,"&lt;"&amp;E785))))</f>
        <v/>
      </c>
      <c r="R785" s="9">
        <f>IF(OR(Q785="",G785=""),"",G785-Q785)</f>
        <v/>
      </c>
      <c r="S785" s="9">
        <f>IF(R785="","",SUMIFS($R$2:$R$1001,$A$2:$A$1001,A785,$E$2:$E$1001,"&lt;="&amp;E785))</f>
        <v/>
      </c>
      <c r="T785" s="5">
        <f>IF(A785="","",IF(R785="","initial",IF(ABS(R785)&lt;=ShiftThresholdDays,"unchanged",IF(R785&gt;0,"delayed","accelerated"))))</f>
        <v/>
      </c>
    </row>
    <row r="786">
      <c r="A786" s="2" t="n"/>
      <c r="B786" s="2" t="n"/>
      <c r="C786" s="2" t="n"/>
      <c r="D786" s="2" t="n"/>
      <c r="E786" s="2" t="n"/>
      <c r="F786" s="2" t="n"/>
      <c r="G786" s="3" t="n"/>
      <c r="H786" s="2" t="n"/>
      <c r="I786" s="3" t="n"/>
      <c r="J786" s="2" t="n"/>
      <c r="K786" s="2" t="n"/>
      <c r="L786" s="2" t="n"/>
      <c r="M786" s="2" t="n"/>
      <c r="N786" s="2" t="n"/>
      <c r="O786" s="2" t="n"/>
      <c r="P786" s="2" t="n"/>
      <c r="Q786" s="4">
        <f>IF(OR(A786="",E786=""),"",IF(MAXIFS($E$2:$E$1001,$A$2:$A$1001,A786,$E$2:$E$1001,"&lt;"&amp;E786)=0,"",SUMIFS($G$2:$G$1001,$A$2:$A$1001,A786,$E$2:$E$1001,MAXIFS($E$2:$E$1001,$A$2:$A$1001,A786,$E$2:$E$1001,"&lt;"&amp;E786))))</f>
        <v/>
      </c>
      <c r="R786" s="9">
        <f>IF(OR(Q786="",G786=""),"",G786-Q786)</f>
        <v/>
      </c>
      <c r="S786" s="9">
        <f>IF(R786="","",SUMIFS($R$2:$R$1001,$A$2:$A$1001,A786,$E$2:$E$1001,"&lt;="&amp;E786))</f>
        <v/>
      </c>
      <c r="T786" s="5">
        <f>IF(A786="","",IF(R786="","initial",IF(ABS(R786)&lt;=ShiftThresholdDays,"unchanged",IF(R786&gt;0,"delayed","accelerated"))))</f>
        <v/>
      </c>
    </row>
    <row r="787">
      <c r="A787" s="2" t="n"/>
      <c r="B787" s="2" t="n"/>
      <c r="C787" s="2" t="n"/>
      <c r="D787" s="2" t="n"/>
      <c r="E787" s="2" t="n"/>
      <c r="F787" s="2" t="n"/>
      <c r="G787" s="3" t="n"/>
      <c r="H787" s="2" t="n"/>
      <c r="I787" s="3" t="n"/>
      <c r="J787" s="2" t="n"/>
      <c r="K787" s="2" t="n"/>
      <c r="L787" s="2" t="n"/>
      <c r="M787" s="2" t="n"/>
      <c r="N787" s="2" t="n"/>
      <c r="O787" s="2" t="n"/>
      <c r="P787" s="2" t="n"/>
      <c r="Q787" s="4">
        <f>IF(OR(A787="",E787=""),"",IF(MAXIFS($E$2:$E$1001,$A$2:$A$1001,A787,$E$2:$E$1001,"&lt;"&amp;E787)=0,"",SUMIFS($G$2:$G$1001,$A$2:$A$1001,A787,$E$2:$E$1001,MAXIFS($E$2:$E$1001,$A$2:$A$1001,A787,$E$2:$E$1001,"&lt;"&amp;E787))))</f>
        <v/>
      </c>
      <c r="R787" s="9">
        <f>IF(OR(Q787="",G787=""),"",G787-Q787)</f>
        <v/>
      </c>
      <c r="S787" s="9">
        <f>IF(R787="","",SUMIFS($R$2:$R$1001,$A$2:$A$1001,A787,$E$2:$E$1001,"&lt;="&amp;E787))</f>
        <v/>
      </c>
      <c r="T787" s="5">
        <f>IF(A787="","",IF(R787="","initial",IF(ABS(R787)&lt;=ShiftThresholdDays,"unchanged",IF(R787&gt;0,"delayed","accelerated"))))</f>
        <v/>
      </c>
    </row>
    <row r="788">
      <c r="A788" s="2" t="n"/>
      <c r="B788" s="2" t="n"/>
      <c r="C788" s="2" t="n"/>
      <c r="D788" s="2" t="n"/>
      <c r="E788" s="2" t="n"/>
      <c r="F788" s="2" t="n"/>
      <c r="G788" s="3" t="n"/>
      <c r="H788" s="2" t="n"/>
      <c r="I788" s="3" t="n"/>
      <c r="J788" s="2" t="n"/>
      <c r="K788" s="2" t="n"/>
      <c r="L788" s="2" t="n"/>
      <c r="M788" s="2" t="n"/>
      <c r="N788" s="2" t="n"/>
      <c r="O788" s="2" t="n"/>
      <c r="P788" s="2" t="n"/>
      <c r="Q788" s="4">
        <f>IF(OR(A788="",E788=""),"",IF(MAXIFS($E$2:$E$1001,$A$2:$A$1001,A788,$E$2:$E$1001,"&lt;"&amp;E788)=0,"",SUMIFS($G$2:$G$1001,$A$2:$A$1001,A788,$E$2:$E$1001,MAXIFS($E$2:$E$1001,$A$2:$A$1001,A788,$E$2:$E$1001,"&lt;"&amp;E788))))</f>
        <v/>
      </c>
      <c r="R788" s="9">
        <f>IF(OR(Q788="",G788=""),"",G788-Q788)</f>
        <v/>
      </c>
      <c r="S788" s="9">
        <f>IF(R788="","",SUMIFS($R$2:$R$1001,$A$2:$A$1001,A788,$E$2:$E$1001,"&lt;="&amp;E788))</f>
        <v/>
      </c>
      <c r="T788" s="5">
        <f>IF(A788="","",IF(R788="","initial",IF(ABS(R788)&lt;=ShiftThresholdDays,"unchanged",IF(R788&gt;0,"delayed","accelerated"))))</f>
        <v/>
      </c>
    </row>
    <row r="789">
      <c r="A789" s="2" t="n"/>
      <c r="B789" s="2" t="n"/>
      <c r="C789" s="2" t="n"/>
      <c r="D789" s="2" t="n"/>
      <c r="E789" s="2" t="n"/>
      <c r="F789" s="2" t="n"/>
      <c r="G789" s="3" t="n"/>
      <c r="H789" s="2" t="n"/>
      <c r="I789" s="3" t="n"/>
      <c r="J789" s="2" t="n"/>
      <c r="K789" s="2" t="n"/>
      <c r="L789" s="2" t="n"/>
      <c r="M789" s="2" t="n"/>
      <c r="N789" s="2" t="n"/>
      <c r="O789" s="2" t="n"/>
      <c r="P789" s="2" t="n"/>
      <c r="Q789" s="4">
        <f>IF(OR(A789="",E789=""),"",IF(MAXIFS($E$2:$E$1001,$A$2:$A$1001,A789,$E$2:$E$1001,"&lt;"&amp;E789)=0,"",SUMIFS($G$2:$G$1001,$A$2:$A$1001,A789,$E$2:$E$1001,MAXIFS($E$2:$E$1001,$A$2:$A$1001,A789,$E$2:$E$1001,"&lt;"&amp;E789))))</f>
        <v/>
      </c>
      <c r="R789" s="9">
        <f>IF(OR(Q789="",G789=""),"",G789-Q789)</f>
        <v/>
      </c>
      <c r="S789" s="9">
        <f>IF(R789="","",SUMIFS($R$2:$R$1001,$A$2:$A$1001,A789,$E$2:$E$1001,"&lt;="&amp;E789))</f>
        <v/>
      </c>
      <c r="T789" s="5">
        <f>IF(A789="","",IF(R789="","initial",IF(ABS(R789)&lt;=ShiftThresholdDays,"unchanged",IF(R789&gt;0,"delayed","accelerated"))))</f>
        <v/>
      </c>
    </row>
    <row r="790">
      <c r="A790" s="2" t="n"/>
      <c r="B790" s="2" t="n"/>
      <c r="C790" s="2" t="n"/>
      <c r="D790" s="2" t="n"/>
      <c r="E790" s="2" t="n"/>
      <c r="F790" s="2" t="n"/>
      <c r="G790" s="3" t="n"/>
      <c r="H790" s="2" t="n"/>
      <c r="I790" s="3" t="n"/>
      <c r="J790" s="2" t="n"/>
      <c r="K790" s="2" t="n"/>
      <c r="L790" s="2" t="n"/>
      <c r="M790" s="2" t="n"/>
      <c r="N790" s="2" t="n"/>
      <c r="O790" s="2" t="n"/>
      <c r="P790" s="2" t="n"/>
      <c r="Q790" s="4">
        <f>IF(OR(A790="",E790=""),"",IF(MAXIFS($E$2:$E$1001,$A$2:$A$1001,A790,$E$2:$E$1001,"&lt;"&amp;E790)=0,"",SUMIFS($G$2:$G$1001,$A$2:$A$1001,A790,$E$2:$E$1001,MAXIFS($E$2:$E$1001,$A$2:$A$1001,A790,$E$2:$E$1001,"&lt;"&amp;E790))))</f>
        <v/>
      </c>
      <c r="R790" s="9">
        <f>IF(OR(Q790="",G790=""),"",G790-Q790)</f>
        <v/>
      </c>
      <c r="S790" s="9">
        <f>IF(R790="","",SUMIFS($R$2:$R$1001,$A$2:$A$1001,A790,$E$2:$E$1001,"&lt;="&amp;E790))</f>
        <v/>
      </c>
      <c r="T790" s="5">
        <f>IF(A790="","",IF(R790="","initial",IF(ABS(R790)&lt;=ShiftThresholdDays,"unchanged",IF(R790&gt;0,"delayed","accelerated"))))</f>
        <v/>
      </c>
    </row>
    <row r="791">
      <c r="A791" s="2" t="n"/>
      <c r="B791" s="2" t="n"/>
      <c r="C791" s="2" t="n"/>
      <c r="D791" s="2" t="n"/>
      <c r="E791" s="2" t="n"/>
      <c r="F791" s="2" t="n"/>
      <c r="G791" s="3" t="n"/>
      <c r="H791" s="2" t="n"/>
      <c r="I791" s="3" t="n"/>
      <c r="J791" s="2" t="n"/>
      <c r="K791" s="2" t="n"/>
      <c r="L791" s="2" t="n"/>
      <c r="M791" s="2" t="n"/>
      <c r="N791" s="2" t="n"/>
      <c r="O791" s="2" t="n"/>
      <c r="P791" s="2" t="n"/>
      <c r="Q791" s="4">
        <f>IF(OR(A791="",E791=""),"",IF(MAXIFS($E$2:$E$1001,$A$2:$A$1001,A791,$E$2:$E$1001,"&lt;"&amp;E791)=0,"",SUMIFS($G$2:$G$1001,$A$2:$A$1001,A791,$E$2:$E$1001,MAXIFS($E$2:$E$1001,$A$2:$A$1001,A791,$E$2:$E$1001,"&lt;"&amp;E791))))</f>
        <v/>
      </c>
      <c r="R791" s="9">
        <f>IF(OR(Q791="",G791=""),"",G791-Q791)</f>
        <v/>
      </c>
      <c r="S791" s="9">
        <f>IF(R791="","",SUMIFS($R$2:$R$1001,$A$2:$A$1001,A791,$E$2:$E$1001,"&lt;="&amp;E791))</f>
        <v/>
      </c>
      <c r="T791" s="5">
        <f>IF(A791="","",IF(R791="","initial",IF(ABS(R791)&lt;=ShiftThresholdDays,"unchanged",IF(R791&gt;0,"delayed","accelerated"))))</f>
        <v/>
      </c>
    </row>
    <row r="792">
      <c r="A792" s="2" t="n"/>
      <c r="B792" s="2" t="n"/>
      <c r="C792" s="2" t="n"/>
      <c r="D792" s="2" t="n"/>
      <c r="E792" s="2" t="n"/>
      <c r="F792" s="2" t="n"/>
      <c r="G792" s="3" t="n"/>
      <c r="H792" s="2" t="n"/>
      <c r="I792" s="3" t="n"/>
      <c r="J792" s="2" t="n"/>
      <c r="K792" s="2" t="n"/>
      <c r="L792" s="2" t="n"/>
      <c r="M792" s="2" t="n"/>
      <c r="N792" s="2" t="n"/>
      <c r="O792" s="2" t="n"/>
      <c r="P792" s="2" t="n"/>
      <c r="Q792" s="4">
        <f>IF(OR(A792="",E792=""),"",IF(MAXIFS($E$2:$E$1001,$A$2:$A$1001,A792,$E$2:$E$1001,"&lt;"&amp;E792)=0,"",SUMIFS($G$2:$G$1001,$A$2:$A$1001,A792,$E$2:$E$1001,MAXIFS($E$2:$E$1001,$A$2:$A$1001,A792,$E$2:$E$1001,"&lt;"&amp;E792))))</f>
        <v/>
      </c>
      <c r="R792" s="9">
        <f>IF(OR(Q792="",G792=""),"",G792-Q792)</f>
        <v/>
      </c>
      <c r="S792" s="9">
        <f>IF(R792="","",SUMIFS($R$2:$R$1001,$A$2:$A$1001,A792,$E$2:$E$1001,"&lt;="&amp;E792))</f>
        <v/>
      </c>
      <c r="T792" s="5">
        <f>IF(A792="","",IF(R792="","initial",IF(ABS(R792)&lt;=ShiftThresholdDays,"unchanged",IF(R792&gt;0,"delayed","accelerated"))))</f>
        <v/>
      </c>
    </row>
    <row r="793">
      <c r="A793" s="2" t="n"/>
      <c r="B793" s="2" t="n"/>
      <c r="C793" s="2" t="n"/>
      <c r="D793" s="2" t="n"/>
      <c r="E793" s="2" t="n"/>
      <c r="F793" s="2" t="n"/>
      <c r="G793" s="3" t="n"/>
      <c r="H793" s="2" t="n"/>
      <c r="I793" s="3" t="n"/>
      <c r="J793" s="2" t="n"/>
      <c r="K793" s="2" t="n"/>
      <c r="L793" s="2" t="n"/>
      <c r="M793" s="2" t="n"/>
      <c r="N793" s="2" t="n"/>
      <c r="O793" s="2" t="n"/>
      <c r="P793" s="2" t="n"/>
      <c r="Q793" s="4">
        <f>IF(OR(A793="",E793=""),"",IF(MAXIFS($E$2:$E$1001,$A$2:$A$1001,A793,$E$2:$E$1001,"&lt;"&amp;E793)=0,"",SUMIFS($G$2:$G$1001,$A$2:$A$1001,A793,$E$2:$E$1001,MAXIFS($E$2:$E$1001,$A$2:$A$1001,A793,$E$2:$E$1001,"&lt;"&amp;E793))))</f>
        <v/>
      </c>
      <c r="R793" s="9">
        <f>IF(OR(Q793="",G793=""),"",G793-Q793)</f>
        <v/>
      </c>
      <c r="S793" s="9">
        <f>IF(R793="","",SUMIFS($R$2:$R$1001,$A$2:$A$1001,A793,$E$2:$E$1001,"&lt;="&amp;E793))</f>
        <v/>
      </c>
      <c r="T793" s="5">
        <f>IF(A793="","",IF(R793="","initial",IF(ABS(R793)&lt;=ShiftThresholdDays,"unchanged",IF(R793&gt;0,"delayed","accelerated"))))</f>
        <v/>
      </c>
    </row>
    <row r="794">
      <c r="A794" s="2" t="n"/>
      <c r="B794" s="2" t="n"/>
      <c r="C794" s="2" t="n"/>
      <c r="D794" s="2" t="n"/>
      <c r="E794" s="2" t="n"/>
      <c r="F794" s="2" t="n"/>
      <c r="G794" s="3" t="n"/>
      <c r="H794" s="2" t="n"/>
      <c r="I794" s="3" t="n"/>
      <c r="J794" s="2" t="n"/>
      <c r="K794" s="2" t="n"/>
      <c r="L794" s="2" t="n"/>
      <c r="M794" s="2" t="n"/>
      <c r="N794" s="2" t="n"/>
      <c r="O794" s="2" t="n"/>
      <c r="P794" s="2" t="n"/>
      <c r="Q794" s="4">
        <f>IF(OR(A794="",E794=""),"",IF(MAXIFS($E$2:$E$1001,$A$2:$A$1001,A794,$E$2:$E$1001,"&lt;"&amp;E794)=0,"",SUMIFS($G$2:$G$1001,$A$2:$A$1001,A794,$E$2:$E$1001,MAXIFS($E$2:$E$1001,$A$2:$A$1001,A794,$E$2:$E$1001,"&lt;"&amp;E794))))</f>
        <v/>
      </c>
      <c r="R794" s="9">
        <f>IF(OR(Q794="",G794=""),"",G794-Q794)</f>
        <v/>
      </c>
      <c r="S794" s="9">
        <f>IF(R794="","",SUMIFS($R$2:$R$1001,$A$2:$A$1001,A794,$E$2:$E$1001,"&lt;="&amp;E794))</f>
        <v/>
      </c>
      <c r="T794" s="5">
        <f>IF(A794="","",IF(R794="","initial",IF(ABS(R794)&lt;=ShiftThresholdDays,"unchanged",IF(R794&gt;0,"delayed","accelerated"))))</f>
        <v/>
      </c>
    </row>
    <row r="795">
      <c r="A795" s="2" t="n"/>
      <c r="B795" s="2" t="n"/>
      <c r="C795" s="2" t="n"/>
      <c r="D795" s="2" t="n"/>
      <c r="E795" s="2" t="n"/>
      <c r="F795" s="2" t="n"/>
      <c r="G795" s="3" t="n"/>
      <c r="H795" s="2" t="n"/>
      <c r="I795" s="3" t="n"/>
      <c r="J795" s="2" t="n"/>
      <c r="K795" s="2" t="n"/>
      <c r="L795" s="2" t="n"/>
      <c r="M795" s="2" t="n"/>
      <c r="N795" s="2" t="n"/>
      <c r="O795" s="2" t="n"/>
      <c r="P795" s="2" t="n"/>
      <c r="Q795" s="4">
        <f>IF(OR(A795="",E795=""),"",IF(MAXIFS($E$2:$E$1001,$A$2:$A$1001,A795,$E$2:$E$1001,"&lt;"&amp;E795)=0,"",SUMIFS($G$2:$G$1001,$A$2:$A$1001,A795,$E$2:$E$1001,MAXIFS($E$2:$E$1001,$A$2:$A$1001,A795,$E$2:$E$1001,"&lt;"&amp;E795))))</f>
        <v/>
      </c>
      <c r="R795" s="9">
        <f>IF(OR(Q795="",G795=""),"",G795-Q795)</f>
        <v/>
      </c>
      <c r="S795" s="9">
        <f>IF(R795="","",SUMIFS($R$2:$R$1001,$A$2:$A$1001,A795,$E$2:$E$1001,"&lt;="&amp;E795))</f>
        <v/>
      </c>
      <c r="T795" s="5">
        <f>IF(A795="","",IF(R795="","initial",IF(ABS(R795)&lt;=ShiftThresholdDays,"unchanged",IF(R795&gt;0,"delayed","accelerated"))))</f>
        <v/>
      </c>
    </row>
    <row r="796">
      <c r="A796" s="2" t="n"/>
      <c r="B796" s="2" t="n"/>
      <c r="C796" s="2" t="n"/>
      <c r="D796" s="2" t="n"/>
      <c r="E796" s="2" t="n"/>
      <c r="F796" s="2" t="n"/>
      <c r="G796" s="3" t="n"/>
      <c r="H796" s="2" t="n"/>
      <c r="I796" s="3" t="n"/>
      <c r="J796" s="2" t="n"/>
      <c r="K796" s="2" t="n"/>
      <c r="L796" s="2" t="n"/>
      <c r="M796" s="2" t="n"/>
      <c r="N796" s="2" t="n"/>
      <c r="O796" s="2" t="n"/>
      <c r="P796" s="2" t="n"/>
      <c r="Q796" s="4">
        <f>IF(OR(A796="",E796=""),"",IF(MAXIFS($E$2:$E$1001,$A$2:$A$1001,A796,$E$2:$E$1001,"&lt;"&amp;E796)=0,"",SUMIFS($G$2:$G$1001,$A$2:$A$1001,A796,$E$2:$E$1001,MAXIFS($E$2:$E$1001,$A$2:$A$1001,A796,$E$2:$E$1001,"&lt;"&amp;E796))))</f>
        <v/>
      </c>
      <c r="R796" s="9">
        <f>IF(OR(Q796="",G796=""),"",G796-Q796)</f>
        <v/>
      </c>
      <c r="S796" s="9">
        <f>IF(R796="","",SUMIFS($R$2:$R$1001,$A$2:$A$1001,A796,$E$2:$E$1001,"&lt;="&amp;E796))</f>
        <v/>
      </c>
      <c r="T796" s="5">
        <f>IF(A796="","",IF(R796="","initial",IF(ABS(R796)&lt;=ShiftThresholdDays,"unchanged",IF(R796&gt;0,"delayed","accelerated"))))</f>
        <v/>
      </c>
    </row>
    <row r="797">
      <c r="A797" s="2" t="n"/>
      <c r="B797" s="2" t="n"/>
      <c r="C797" s="2" t="n"/>
      <c r="D797" s="2" t="n"/>
      <c r="E797" s="2" t="n"/>
      <c r="F797" s="2" t="n"/>
      <c r="G797" s="3" t="n"/>
      <c r="H797" s="2" t="n"/>
      <c r="I797" s="3" t="n"/>
      <c r="J797" s="2" t="n"/>
      <c r="K797" s="2" t="n"/>
      <c r="L797" s="2" t="n"/>
      <c r="M797" s="2" t="n"/>
      <c r="N797" s="2" t="n"/>
      <c r="O797" s="2" t="n"/>
      <c r="P797" s="2" t="n"/>
      <c r="Q797" s="4">
        <f>IF(OR(A797="",E797=""),"",IF(MAXIFS($E$2:$E$1001,$A$2:$A$1001,A797,$E$2:$E$1001,"&lt;"&amp;E797)=0,"",SUMIFS($G$2:$G$1001,$A$2:$A$1001,A797,$E$2:$E$1001,MAXIFS($E$2:$E$1001,$A$2:$A$1001,A797,$E$2:$E$1001,"&lt;"&amp;E797))))</f>
        <v/>
      </c>
      <c r="R797" s="9">
        <f>IF(OR(Q797="",G797=""),"",G797-Q797)</f>
        <v/>
      </c>
      <c r="S797" s="9">
        <f>IF(R797="","",SUMIFS($R$2:$R$1001,$A$2:$A$1001,A797,$E$2:$E$1001,"&lt;="&amp;E797))</f>
        <v/>
      </c>
      <c r="T797" s="5">
        <f>IF(A797="","",IF(R797="","initial",IF(ABS(R797)&lt;=ShiftThresholdDays,"unchanged",IF(R797&gt;0,"delayed","accelerated"))))</f>
        <v/>
      </c>
    </row>
    <row r="798">
      <c r="A798" s="2" t="n"/>
      <c r="B798" s="2" t="n"/>
      <c r="C798" s="2" t="n"/>
      <c r="D798" s="2" t="n"/>
      <c r="E798" s="2" t="n"/>
      <c r="F798" s="2" t="n"/>
      <c r="G798" s="3" t="n"/>
      <c r="H798" s="2" t="n"/>
      <c r="I798" s="3" t="n"/>
      <c r="J798" s="2" t="n"/>
      <c r="K798" s="2" t="n"/>
      <c r="L798" s="2" t="n"/>
      <c r="M798" s="2" t="n"/>
      <c r="N798" s="2" t="n"/>
      <c r="O798" s="2" t="n"/>
      <c r="P798" s="2" t="n"/>
      <c r="Q798" s="4">
        <f>IF(OR(A798="",E798=""),"",IF(MAXIFS($E$2:$E$1001,$A$2:$A$1001,A798,$E$2:$E$1001,"&lt;"&amp;E798)=0,"",SUMIFS($G$2:$G$1001,$A$2:$A$1001,A798,$E$2:$E$1001,MAXIFS($E$2:$E$1001,$A$2:$A$1001,A798,$E$2:$E$1001,"&lt;"&amp;E798))))</f>
        <v/>
      </c>
      <c r="R798" s="9">
        <f>IF(OR(Q798="",G798=""),"",G798-Q798)</f>
        <v/>
      </c>
      <c r="S798" s="9">
        <f>IF(R798="","",SUMIFS($R$2:$R$1001,$A$2:$A$1001,A798,$E$2:$E$1001,"&lt;="&amp;E798))</f>
        <v/>
      </c>
      <c r="T798" s="5">
        <f>IF(A798="","",IF(R798="","initial",IF(ABS(R798)&lt;=ShiftThresholdDays,"unchanged",IF(R798&gt;0,"delayed","accelerated"))))</f>
        <v/>
      </c>
    </row>
    <row r="799">
      <c r="A799" s="2" t="n"/>
      <c r="B799" s="2" t="n"/>
      <c r="C799" s="2" t="n"/>
      <c r="D799" s="2" t="n"/>
      <c r="E799" s="2" t="n"/>
      <c r="F799" s="2" t="n"/>
      <c r="G799" s="3" t="n"/>
      <c r="H799" s="2" t="n"/>
      <c r="I799" s="3" t="n"/>
      <c r="J799" s="2" t="n"/>
      <c r="K799" s="2" t="n"/>
      <c r="L799" s="2" t="n"/>
      <c r="M799" s="2" t="n"/>
      <c r="N799" s="2" t="n"/>
      <c r="O799" s="2" t="n"/>
      <c r="P799" s="2" t="n"/>
      <c r="Q799" s="4">
        <f>IF(OR(A799="",E799=""),"",IF(MAXIFS($E$2:$E$1001,$A$2:$A$1001,A799,$E$2:$E$1001,"&lt;"&amp;E799)=0,"",SUMIFS($G$2:$G$1001,$A$2:$A$1001,A799,$E$2:$E$1001,MAXIFS($E$2:$E$1001,$A$2:$A$1001,A799,$E$2:$E$1001,"&lt;"&amp;E799))))</f>
        <v/>
      </c>
      <c r="R799" s="9">
        <f>IF(OR(Q799="",G799=""),"",G799-Q799)</f>
        <v/>
      </c>
      <c r="S799" s="9">
        <f>IF(R799="","",SUMIFS($R$2:$R$1001,$A$2:$A$1001,A799,$E$2:$E$1001,"&lt;="&amp;E799))</f>
        <v/>
      </c>
      <c r="T799" s="5">
        <f>IF(A799="","",IF(R799="","initial",IF(ABS(R799)&lt;=ShiftThresholdDays,"unchanged",IF(R799&gt;0,"delayed","accelerated"))))</f>
        <v/>
      </c>
    </row>
    <row r="800">
      <c r="A800" s="2" t="n"/>
      <c r="B800" s="2" t="n"/>
      <c r="C800" s="2" t="n"/>
      <c r="D800" s="2" t="n"/>
      <c r="E800" s="2" t="n"/>
      <c r="F800" s="2" t="n"/>
      <c r="G800" s="3" t="n"/>
      <c r="H800" s="2" t="n"/>
      <c r="I800" s="3" t="n"/>
      <c r="J800" s="2" t="n"/>
      <c r="K800" s="2" t="n"/>
      <c r="L800" s="2" t="n"/>
      <c r="M800" s="2" t="n"/>
      <c r="N800" s="2" t="n"/>
      <c r="O800" s="2" t="n"/>
      <c r="P800" s="2" t="n"/>
      <c r="Q800" s="4">
        <f>IF(OR(A800="",E800=""),"",IF(MAXIFS($E$2:$E$1001,$A$2:$A$1001,A800,$E$2:$E$1001,"&lt;"&amp;E800)=0,"",SUMIFS($G$2:$G$1001,$A$2:$A$1001,A800,$E$2:$E$1001,MAXIFS($E$2:$E$1001,$A$2:$A$1001,A800,$E$2:$E$1001,"&lt;"&amp;E800))))</f>
        <v/>
      </c>
      <c r="R800" s="9">
        <f>IF(OR(Q800="",G800=""),"",G800-Q800)</f>
        <v/>
      </c>
      <c r="S800" s="9">
        <f>IF(R800="","",SUMIFS($R$2:$R$1001,$A$2:$A$1001,A800,$E$2:$E$1001,"&lt;="&amp;E800))</f>
        <v/>
      </c>
      <c r="T800" s="5">
        <f>IF(A800="","",IF(R800="","initial",IF(ABS(R800)&lt;=ShiftThresholdDays,"unchanged",IF(R800&gt;0,"delayed","accelerated"))))</f>
        <v/>
      </c>
    </row>
    <row r="801">
      <c r="A801" s="2" t="n"/>
      <c r="B801" s="2" t="n"/>
      <c r="C801" s="2" t="n"/>
      <c r="D801" s="2" t="n"/>
      <c r="E801" s="2" t="n"/>
      <c r="F801" s="2" t="n"/>
      <c r="G801" s="3" t="n"/>
      <c r="H801" s="2" t="n"/>
      <c r="I801" s="3" t="n"/>
      <c r="J801" s="2" t="n"/>
      <c r="K801" s="2" t="n"/>
      <c r="L801" s="2" t="n"/>
      <c r="M801" s="2" t="n"/>
      <c r="N801" s="2" t="n"/>
      <c r="O801" s="2" t="n"/>
      <c r="P801" s="2" t="n"/>
      <c r="Q801" s="4">
        <f>IF(OR(A801="",E801=""),"",IF(MAXIFS($E$2:$E$1001,$A$2:$A$1001,A801,$E$2:$E$1001,"&lt;"&amp;E801)=0,"",SUMIFS($G$2:$G$1001,$A$2:$A$1001,A801,$E$2:$E$1001,MAXIFS($E$2:$E$1001,$A$2:$A$1001,A801,$E$2:$E$1001,"&lt;"&amp;E801))))</f>
        <v/>
      </c>
      <c r="R801" s="9">
        <f>IF(OR(Q801="",G801=""),"",G801-Q801)</f>
        <v/>
      </c>
      <c r="S801" s="9">
        <f>IF(R801="","",SUMIFS($R$2:$R$1001,$A$2:$A$1001,A801,$E$2:$E$1001,"&lt;="&amp;E801))</f>
        <v/>
      </c>
      <c r="T801" s="5">
        <f>IF(A801="","",IF(R801="","initial",IF(ABS(R801)&lt;=ShiftThresholdDays,"unchanged",IF(R801&gt;0,"delayed","accelerated"))))</f>
        <v/>
      </c>
    </row>
    <row r="802">
      <c r="A802" s="2" t="n"/>
      <c r="B802" s="2" t="n"/>
      <c r="C802" s="2" t="n"/>
      <c r="D802" s="2" t="n"/>
      <c r="E802" s="2" t="n"/>
      <c r="F802" s="2" t="n"/>
      <c r="G802" s="3" t="n"/>
      <c r="H802" s="2" t="n"/>
      <c r="I802" s="3" t="n"/>
      <c r="J802" s="2" t="n"/>
      <c r="K802" s="2" t="n"/>
      <c r="L802" s="2" t="n"/>
      <c r="M802" s="2" t="n"/>
      <c r="N802" s="2" t="n"/>
      <c r="O802" s="2" t="n"/>
      <c r="P802" s="2" t="n"/>
      <c r="Q802" s="4">
        <f>IF(OR(A802="",E802=""),"",IF(MAXIFS($E$2:$E$1001,$A$2:$A$1001,A802,$E$2:$E$1001,"&lt;"&amp;E802)=0,"",SUMIFS($G$2:$G$1001,$A$2:$A$1001,A802,$E$2:$E$1001,MAXIFS($E$2:$E$1001,$A$2:$A$1001,A802,$E$2:$E$1001,"&lt;"&amp;E802))))</f>
        <v/>
      </c>
      <c r="R802" s="9">
        <f>IF(OR(Q802="",G802=""),"",G802-Q802)</f>
        <v/>
      </c>
      <c r="S802" s="9">
        <f>IF(R802="","",SUMIFS($R$2:$R$1001,$A$2:$A$1001,A802,$E$2:$E$1001,"&lt;="&amp;E802))</f>
        <v/>
      </c>
      <c r="T802" s="5">
        <f>IF(A802="","",IF(R802="","initial",IF(ABS(R802)&lt;=ShiftThresholdDays,"unchanged",IF(R802&gt;0,"delayed","accelerated"))))</f>
        <v/>
      </c>
    </row>
    <row r="803">
      <c r="A803" s="2" t="n"/>
      <c r="B803" s="2" t="n"/>
      <c r="C803" s="2" t="n"/>
      <c r="D803" s="2" t="n"/>
      <c r="E803" s="2" t="n"/>
      <c r="F803" s="2" t="n"/>
      <c r="G803" s="3" t="n"/>
      <c r="H803" s="2" t="n"/>
      <c r="I803" s="3" t="n"/>
      <c r="J803" s="2" t="n"/>
      <c r="K803" s="2" t="n"/>
      <c r="L803" s="2" t="n"/>
      <c r="M803" s="2" t="n"/>
      <c r="N803" s="2" t="n"/>
      <c r="O803" s="2" t="n"/>
      <c r="P803" s="2" t="n"/>
      <c r="Q803" s="4">
        <f>IF(OR(A803="",E803=""),"",IF(MAXIFS($E$2:$E$1001,$A$2:$A$1001,A803,$E$2:$E$1001,"&lt;"&amp;E803)=0,"",SUMIFS($G$2:$G$1001,$A$2:$A$1001,A803,$E$2:$E$1001,MAXIFS($E$2:$E$1001,$A$2:$A$1001,A803,$E$2:$E$1001,"&lt;"&amp;E803))))</f>
        <v/>
      </c>
      <c r="R803" s="9">
        <f>IF(OR(Q803="",G803=""),"",G803-Q803)</f>
        <v/>
      </c>
      <c r="S803" s="9">
        <f>IF(R803="","",SUMIFS($R$2:$R$1001,$A$2:$A$1001,A803,$E$2:$E$1001,"&lt;="&amp;E803))</f>
        <v/>
      </c>
      <c r="T803" s="5">
        <f>IF(A803="","",IF(R803="","initial",IF(ABS(R803)&lt;=ShiftThresholdDays,"unchanged",IF(R803&gt;0,"delayed","accelerated"))))</f>
        <v/>
      </c>
    </row>
    <row r="804">
      <c r="A804" s="2" t="n"/>
      <c r="B804" s="2" t="n"/>
      <c r="C804" s="2" t="n"/>
      <c r="D804" s="2" t="n"/>
      <c r="E804" s="2" t="n"/>
      <c r="F804" s="2" t="n"/>
      <c r="G804" s="3" t="n"/>
      <c r="H804" s="2" t="n"/>
      <c r="I804" s="3" t="n"/>
      <c r="J804" s="2" t="n"/>
      <c r="K804" s="2" t="n"/>
      <c r="L804" s="2" t="n"/>
      <c r="M804" s="2" t="n"/>
      <c r="N804" s="2" t="n"/>
      <c r="O804" s="2" t="n"/>
      <c r="P804" s="2" t="n"/>
      <c r="Q804" s="4">
        <f>IF(OR(A804="",E804=""),"",IF(MAXIFS($E$2:$E$1001,$A$2:$A$1001,A804,$E$2:$E$1001,"&lt;"&amp;E804)=0,"",SUMIFS($G$2:$G$1001,$A$2:$A$1001,A804,$E$2:$E$1001,MAXIFS($E$2:$E$1001,$A$2:$A$1001,A804,$E$2:$E$1001,"&lt;"&amp;E804))))</f>
        <v/>
      </c>
      <c r="R804" s="9">
        <f>IF(OR(Q804="",G804=""),"",G804-Q804)</f>
        <v/>
      </c>
      <c r="S804" s="9">
        <f>IF(R804="","",SUMIFS($R$2:$R$1001,$A$2:$A$1001,A804,$E$2:$E$1001,"&lt;="&amp;E804))</f>
        <v/>
      </c>
      <c r="T804" s="5">
        <f>IF(A804="","",IF(R804="","initial",IF(ABS(R804)&lt;=ShiftThresholdDays,"unchanged",IF(R804&gt;0,"delayed","accelerated"))))</f>
        <v/>
      </c>
    </row>
    <row r="805">
      <c r="A805" s="2" t="n"/>
      <c r="B805" s="2" t="n"/>
      <c r="C805" s="2" t="n"/>
      <c r="D805" s="2" t="n"/>
      <c r="E805" s="2" t="n"/>
      <c r="F805" s="2" t="n"/>
      <c r="G805" s="3" t="n"/>
      <c r="H805" s="2" t="n"/>
      <c r="I805" s="3" t="n"/>
      <c r="J805" s="2" t="n"/>
      <c r="K805" s="2" t="n"/>
      <c r="L805" s="2" t="n"/>
      <c r="M805" s="2" t="n"/>
      <c r="N805" s="2" t="n"/>
      <c r="O805" s="2" t="n"/>
      <c r="P805" s="2" t="n"/>
      <c r="Q805" s="4">
        <f>IF(OR(A805="",E805=""),"",IF(MAXIFS($E$2:$E$1001,$A$2:$A$1001,A805,$E$2:$E$1001,"&lt;"&amp;E805)=0,"",SUMIFS($G$2:$G$1001,$A$2:$A$1001,A805,$E$2:$E$1001,MAXIFS($E$2:$E$1001,$A$2:$A$1001,A805,$E$2:$E$1001,"&lt;"&amp;E805))))</f>
        <v/>
      </c>
      <c r="R805" s="9">
        <f>IF(OR(Q805="",G805=""),"",G805-Q805)</f>
        <v/>
      </c>
      <c r="S805" s="9">
        <f>IF(R805="","",SUMIFS($R$2:$R$1001,$A$2:$A$1001,A805,$E$2:$E$1001,"&lt;="&amp;E805))</f>
        <v/>
      </c>
      <c r="T805" s="5">
        <f>IF(A805="","",IF(R805="","initial",IF(ABS(R805)&lt;=ShiftThresholdDays,"unchanged",IF(R805&gt;0,"delayed","accelerated"))))</f>
        <v/>
      </c>
    </row>
    <row r="806">
      <c r="A806" s="2" t="n"/>
      <c r="B806" s="2" t="n"/>
      <c r="C806" s="2" t="n"/>
      <c r="D806" s="2" t="n"/>
      <c r="E806" s="2" t="n"/>
      <c r="F806" s="2" t="n"/>
      <c r="G806" s="3" t="n"/>
      <c r="H806" s="2" t="n"/>
      <c r="I806" s="3" t="n"/>
      <c r="J806" s="2" t="n"/>
      <c r="K806" s="2" t="n"/>
      <c r="L806" s="2" t="n"/>
      <c r="M806" s="2" t="n"/>
      <c r="N806" s="2" t="n"/>
      <c r="O806" s="2" t="n"/>
      <c r="P806" s="2" t="n"/>
      <c r="Q806" s="4">
        <f>IF(OR(A806="",E806=""),"",IF(MAXIFS($E$2:$E$1001,$A$2:$A$1001,A806,$E$2:$E$1001,"&lt;"&amp;E806)=0,"",SUMIFS($G$2:$G$1001,$A$2:$A$1001,A806,$E$2:$E$1001,MAXIFS($E$2:$E$1001,$A$2:$A$1001,A806,$E$2:$E$1001,"&lt;"&amp;E806))))</f>
        <v/>
      </c>
      <c r="R806" s="9">
        <f>IF(OR(Q806="",G806=""),"",G806-Q806)</f>
        <v/>
      </c>
      <c r="S806" s="9">
        <f>IF(R806="","",SUMIFS($R$2:$R$1001,$A$2:$A$1001,A806,$E$2:$E$1001,"&lt;="&amp;E806))</f>
        <v/>
      </c>
      <c r="T806" s="5">
        <f>IF(A806="","",IF(R806="","initial",IF(ABS(R806)&lt;=ShiftThresholdDays,"unchanged",IF(R806&gt;0,"delayed","accelerated"))))</f>
        <v/>
      </c>
    </row>
    <row r="807">
      <c r="A807" s="2" t="n"/>
      <c r="B807" s="2" t="n"/>
      <c r="C807" s="2" t="n"/>
      <c r="D807" s="2" t="n"/>
      <c r="E807" s="2" t="n"/>
      <c r="F807" s="2" t="n"/>
      <c r="G807" s="3" t="n"/>
      <c r="H807" s="2" t="n"/>
      <c r="I807" s="3" t="n"/>
      <c r="J807" s="2" t="n"/>
      <c r="K807" s="2" t="n"/>
      <c r="L807" s="2" t="n"/>
      <c r="M807" s="2" t="n"/>
      <c r="N807" s="2" t="n"/>
      <c r="O807" s="2" t="n"/>
      <c r="P807" s="2" t="n"/>
      <c r="Q807" s="4">
        <f>IF(OR(A807="",E807=""),"",IF(MAXIFS($E$2:$E$1001,$A$2:$A$1001,A807,$E$2:$E$1001,"&lt;"&amp;E807)=0,"",SUMIFS($G$2:$G$1001,$A$2:$A$1001,A807,$E$2:$E$1001,MAXIFS($E$2:$E$1001,$A$2:$A$1001,A807,$E$2:$E$1001,"&lt;"&amp;E807))))</f>
        <v/>
      </c>
      <c r="R807" s="9">
        <f>IF(OR(Q807="",G807=""),"",G807-Q807)</f>
        <v/>
      </c>
      <c r="S807" s="9">
        <f>IF(R807="","",SUMIFS($R$2:$R$1001,$A$2:$A$1001,A807,$E$2:$E$1001,"&lt;="&amp;E807))</f>
        <v/>
      </c>
      <c r="T807" s="5">
        <f>IF(A807="","",IF(R807="","initial",IF(ABS(R807)&lt;=ShiftThresholdDays,"unchanged",IF(R807&gt;0,"delayed","accelerated"))))</f>
        <v/>
      </c>
    </row>
    <row r="808">
      <c r="A808" s="2" t="n"/>
      <c r="B808" s="2" t="n"/>
      <c r="C808" s="2" t="n"/>
      <c r="D808" s="2" t="n"/>
      <c r="E808" s="2" t="n"/>
      <c r="F808" s="2" t="n"/>
      <c r="G808" s="3" t="n"/>
      <c r="H808" s="2" t="n"/>
      <c r="I808" s="3" t="n"/>
      <c r="J808" s="2" t="n"/>
      <c r="K808" s="2" t="n"/>
      <c r="L808" s="2" t="n"/>
      <c r="M808" s="2" t="n"/>
      <c r="N808" s="2" t="n"/>
      <c r="O808" s="2" t="n"/>
      <c r="P808" s="2" t="n"/>
      <c r="Q808" s="4">
        <f>IF(OR(A808="",E808=""),"",IF(MAXIFS($E$2:$E$1001,$A$2:$A$1001,A808,$E$2:$E$1001,"&lt;"&amp;E808)=0,"",SUMIFS($G$2:$G$1001,$A$2:$A$1001,A808,$E$2:$E$1001,MAXIFS($E$2:$E$1001,$A$2:$A$1001,A808,$E$2:$E$1001,"&lt;"&amp;E808))))</f>
        <v/>
      </c>
      <c r="R808" s="9">
        <f>IF(OR(Q808="",G808=""),"",G808-Q808)</f>
        <v/>
      </c>
      <c r="S808" s="9">
        <f>IF(R808="","",SUMIFS($R$2:$R$1001,$A$2:$A$1001,A808,$E$2:$E$1001,"&lt;="&amp;E808))</f>
        <v/>
      </c>
      <c r="T808" s="5">
        <f>IF(A808="","",IF(R808="","initial",IF(ABS(R808)&lt;=ShiftThresholdDays,"unchanged",IF(R808&gt;0,"delayed","accelerated"))))</f>
        <v/>
      </c>
    </row>
    <row r="809">
      <c r="A809" s="2" t="n"/>
      <c r="B809" s="2" t="n"/>
      <c r="C809" s="2" t="n"/>
      <c r="D809" s="2" t="n"/>
      <c r="E809" s="2" t="n"/>
      <c r="F809" s="2" t="n"/>
      <c r="G809" s="3" t="n"/>
      <c r="H809" s="2" t="n"/>
      <c r="I809" s="3" t="n"/>
      <c r="J809" s="2" t="n"/>
      <c r="K809" s="2" t="n"/>
      <c r="L809" s="2" t="n"/>
      <c r="M809" s="2" t="n"/>
      <c r="N809" s="2" t="n"/>
      <c r="O809" s="2" t="n"/>
      <c r="P809" s="2" t="n"/>
      <c r="Q809" s="4">
        <f>IF(OR(A809="",E809=""),"",IF(MAXIFS($E$2:$E$1001,$A$2:$A$1001,A809,$E$2:$E$1001,"&lt;"&amp;E809)=0,"",SUMIFS($G$2:$G$1001,$A$2:$A$1001,A809,$E$2:$E$1001,MAXIFS($E$2:$E$1001,$A$2:$A$1001,A809,$E$2:$E$1001,"&lt;"&amp;E809))))</f>
        <v/>
      </c>
      <c r="R809" s="9">
        <f>IF(OR(Q809="",G809=""),"",G809-Q809)</f>
        <v/>
      </c>
      <c r="S809" s="9">
        <f>IF(R809="","",SUMIFS($R$2:$R$1001,$A$2:$A$1001,A809,$E$2:$E$1001,"&lt;="&amp;E809))</f>
        <v/>
      </c>
      <c r="T809" s="5">
        <f>IF(A809="","",IF(R809="","initial",IF(ABS(R809)&lt;=ShiftThresholdDays,"unchanged",IF(R809&gt;0,"delayed","accelerated"))))</f>
        <v/>
      </c>
    </row>
    <row r="810">
      <c r="A810" s="2" t="n"/>
      <c r="B810" s="2" t="n"/>
      <c r="C810" s="2" t="n"/>
      <c r="D810" s="2" t="n"/>
      <c r="E810" s="2" t="n"/>
      <c r="F810" s="2" t="n"/>
      <c r="G810" s="3" t="n"/>
      <c r="H810" s="2" t="n"/>
      <c r="I810" s="3" t="n"/>
      <c r="J810" s="2" t="n"/>
      <c r="K810" s="2" t="n"/>
      <c r="L810" s="2" t="n"/>
      <c r="M810" s="2" t="n"/>
      <c r="N810" s="2" t="n"/>
      <c r="O810" s="2" t="n"/>
      <c r="P810" s="2" t="n"/>
      <c r="Q810" s="4">
        <f>IF(OR(A810="",E810=""),"",IF(MAXIFS($E$2:$E$1001,$A$2:$A$1001,A810,$E$2:$E$1001,"&lt;"&amp;E810)=0,"",SUMIFS($G$2:$G$1001,$A$2:$A$1001,A810,$E$2:$E$1001,MAXIFS($E$2:$E$1001,$A$2:$A$1001,A810,$E$2:$E$1001,"&lt;"&amp;E810))))</f>
        <v/>
      </c>
      <c r="R810" s="9">
        <f>IF(OR(Q810="",G810=""),"",G810-Q810)</f>
        <v/>
      </c>
      <c r="S810" s="9">
        <f>IF(R810="","",SUMIFS($R$2:$R$1001,$A$2:$A$1001,A810,$E$2:$E$1001,"&lt;="&amp;E810))</f>
        <v/>
      </c>
      <c r="T810" s="5">
        <f>IF(A810="","",IF(R810="","initial",IF(ABS(R810)&lt;=ShiftThresholdDays,"unchanged",IF(R810&gt;0,"delayed","accelerated"))))</f>
        <v/>
      </c>
    </row>
    <row r="811">
      <c r="A811" s="2" t="n"/>
      <c r="B811" s="2" t="n"/>
      <c r="C811" s="2" t="n"/>
      <c r="D811" s="2" t="n"/>
      <c r="E811" s="2" t="n"/>
      <c r="F811" s="2" t="n"/>
      <c r="G811" s="3" t="n"/>
      <c r="H811" s="2" t="n"/>
      <c r="I811" s="3" t="n"/>
      <c r="J811" s="2" t="n"/>
      <c r="K811" s="2" t="n"/>
      <c r="L811" s="2" t="n"/>
      <c r="M811" s="2" t="n"/>
      <c r="N811" s="2" t="n"/>
      <c r="O811" s="2" t="n"/>
      <c r="P811" s="2" t="n"/>
      <c r="Q811" s="4">
        <f>IF(OR(A811="",E811=""),"",IF(MAXIFS($E$2:$E$1001,$A$2:$A$1001,A811,$E$2:$E$1001,"&lt;"&amp;E811)=0,"",SUMIFS($G$2:$G$1001,$A$2:$A$1001,A811,$E$2:$E$1001,MAXIFS($E$2:$E$1001,$A$2:$A$1001,A811,$E$2:$E$1001,"&lt;"&amp;E811))))</f>
        <v/>
      </c>
      <c r="R811" s="9">
        <f>IF(OR(Q811="",G811=""),"",G811-Q811)</f>
        <v/>
      </c>
      <c r="S811" s="9">
        <f>IF(R811="","",SUMIFS($R$2:$R$1001,$A$2:$A$1001,A811,$E$2:$E$1001,"&lt;="&amp;E811))</f>
        <v/>
      </c>
      <c r="T811" s="5">
        <f>IF(A811="","",IF(R811="","initial",IF(ABS(R811)&lt;=ShiftThresholdDays,"unchanged",IF(R811&gt;0,"delayed","accelerated"))))</f>
        <v/>
      </c>
    </row>
    <row r="812">
      <c r="A812" s="2" t="n"/>
      <c r="B812" s="2" t="n"/>
      <c r="C812" s="2" t="n"/>
      <c r="D812" s="2" t="n"/>
      <c r="E812" s="2" t="n"/>
      <c r="F812" s="2" t="n"/>
      <c r="G812" s="3" t="n"/>
      <c r="H812" s="2" t="n"/>
      <c r="I812" s="3" t="n"/>
      <c r="J812" s="2" t="n"/>
      <c r="K812" s="2" t="n"/>
      <c r="L812" s="2" t="n"/>
      <c r="M812" s="2" t="n"/>
      <c r="N812" s="2" t="n"/>
      <c r="O812" s="2" t="n"/>
      <c r="P812" s="2" t="n"/>
      <c r="Q812" s="4">
        <f>IF(OR(A812="",E812=""),"",IF(MAXIFS($E$2:$E$1001,$A$2:$A$1001,A812,$E$2:$E$1001,"&lt;"&amp;E812)=0,"",SUMIFS($G$2:$G$1001,$A$2:$A$1001,A812,$E$2:$E$1001,MAXIFS($E$2:$E$1001,$A$2:$A$1001,A812,$E$2:$E$1001,"&lt;"&amp;E812))))</f>
        <v/>
      </c>
      <c r="R812" s="9">
        <f>IF(OR(Q812="",G812=""),"",G812-Q812)</f>
        <v/>
      </c>
      <c r="S812" s="9">
        <f>IF(R812="","",SUMIFS($R$2:$R$1001,$A$2:$A$1001,A812,$E$2:$E$1001,"&lt;="&amp;E812))</f>
        <v/>
      </c>
      <c r="T812" s="5">
        <f>IF(A812="","",IF(R812="","initial",IF(ABS(R812)&lt;=ShiftThresholdDays,"unchanged",IF(R812&gt;0,"delayed","accelerated"))))</f>
        <v/>
      </c>
    </row>
    <row r="813">
      <c r="A813" s="2" t="n"/>
      <c r="B813" s="2" t="n"/>
      <c r="C813" s="2" t="n"/>
      <c r="D813" s="2" t="n"/>
      <c r="E813" s="2" t="n"/>
      <c r="F813" s="2" t="n"/>
      <c r="G813" s="3" t="n"/>
      <c r="H813" s="2" t="n"/>
      <c r="I813" s="3" t="n"/>
      <c r="J813" s="2" t="n"/>
      <c r="K813" s="2" t="n"/>
      <c r="L813" s="2" t="n"/>
      <c r="M813" s="2" t="n"/>
      <c r="N813" s="2" t="n"/>
      <c r="O813" s="2" t="n"/>
      <c r="P813" s="2" t="n"/>
      <c r="Q813" s="4">
        <f>IF(OR(A813="",E813=""),"",IF(MAXIFS($E$2:$E$1001,$A$2:$A$1001,A813,$E$2:$E$1001,"&lt;"&amp;E813)=0,"",SUMIFS($G$2:$G$1001,$A$2:$A$1001,A813,$E$2:$E$1001,MAXIFS($E$2:$E$1001,$A$2:$A$1001,A813,$E$2:$E$1001,"&lt;"&amp;E813))))</f>
        <v/>
      </c>
      <c r="R813" s="9">
        <f>IF(OR(Q813="",G813=""),"",G813-Q813)</f>
        <v/>
      </c>
      <c r="S813" s="9">
        <f>IF(R813="","",SUMIFS($R$2:$R$1001,$A$2:$A$1001,A813,$E$2:$E$1001,"&lt;="&amp;E813))</f>
        <v/>
      </c>
      <c r="T813" s="5">
        <f>IF(A813="","",IF(R813="","initial",IF(ABS(R813)&lt;=ShiftThresholdDays,"unchanged",IF(R813&gt;0,"delayed","accelerated"))))</f>
        <v/>
      </c>
    </row>
    <row r="814">
      <c r="A814" s="2" t="n"/>
      <c r="B814" s="2" t="n"/>
      <c r="C814" s="2" t="n"/>
      <c r="D814" s="2" t="n"/>
      <c r="E814" s="2" t="n"/>
      <c r="F814" s="2" t="n"/>
      <c r="G814" s="3" t="n"/>
      <c r="H814" s="2" t="n"/>
      <c r="I814" s="3" t="n"/>
      <c r="J814" s="2" t="n"/>
      <c r="K814" s="2" t="n"/>
      <c r="L814" s="2" t="n"/>
      <c r="M814" s="2" t="n"/>
      <c r="N814" s="2" t="n"/>
      <c r="O814" s="2" t="n"/>
      <c r="P814" s="2" t="n"/>
      <c r="Q814" s="4">
        <f>IF(OR(A814="",E814=""),"",IF(MAXIFS($E$2:$E$1001,$A$2:$A$1001,A814,$E$2:$E$1001,"&lt;"&amp;E814)=0,"",SUMIFS($G$2:$G$1001,$A$2:$A$1001,A814,$E$2:$E$1001,MAXIFS($E$2:$E$1001,$A$2:$A$1001,A814,$E$2:$E$1001,"&lt;"&amp;E814))))</f>
        <v/>
      </c>
      <c r="R814" s="9">
        <f>IF(OR(Q814="",G814=""),"",G814-Q814)</f>
        <v/>
      </c>
      <c r="S814" s="9">
        <f>IF(R814="","",SUMIFS($R$2:$R$1001,$A$2:$A$1001,A814,$E$2:$E$1001,"&lt;="&amp;E814))</f>
        <v/>
      </c>
      <c r="T814" s="5">
        <f>IF(A814="","",IF(R814="","initial",IF(ABS(R814)&lt;=ShiftThresholdDays,"unchanged",IF(R814&gt;0,"delayed","accelerated"))))</f>
        <v/>
      </c>
    </row>
    <row r="815">
      <c r="A815" s="2" t="n"/>
      <c r="B815" s="2" t="n"/>
      <c r="C815" s="2" t="n"/>
      <c r="D815" s="2" t="n"/>
      <c r="E815" s="2" t="n"/>
      <c r="F815" s="2" t="n"/>
      <c r="G815" s="3" t="n"/>
      <c r="H815" s="2" t="n"/>
      <c r="I815" s="3" t="n"/>
      <c r="J815" s="2" t="n"/>
      <c r="K815" s="2" t="n"/>
      <c r="L815" s="2" t="n"/>
      <c r="M815" s="2" t="n"/>
      <c r="N815" s="2" t="n"/>
      <c r="O815" s="2" t="n"/>
      <c r="P815" s="2" t="n"/>
      <c r="Q815" s="4">
        <f>IF(OR(A815="",E815=""),"",IF(MAXIFS($E$2:$E$1001,$A$2:$A$1001,A815,$E$2:$E$1001,"&lt;"&amp;E815)=0,"",SUMIFS($G$2:$G$1001,$A$2:$A$1001,A815,$E$2:$E$1001,MAXIFS($E$2:$E$1001,$A$2:$A$1001,A815,$E$2:$E$1001,"&lt;"&amp;E815))))</f>
        <v/>
      </c>
      <c r="R815" s="9">
        <f>IF(OR(Q815="",G815=""),"",G815-Q815)</f>
        <v/>
      </c>
      <c r="S815" s="9">
        <f>IF(R815="","",SUMIFS($R$2:$R$1001,$A$2:$A$1001,A815,$E$2:$E$1001,"&lt;="&amp;E815))</f>
        <v/>
      </c>
      <c r="T815" s="5">
        <f>IF(A815="","",IF(R815="","initial",IF(ABS(R815)&lt;=ShiftThresholdDays,"unchanged",IF(R815&gt;0,"delayed","accelerated"))))</f>
        <v/>
      </c>
    </row>
    <row r="816">
      <c r="A816" s="2" t="n"/>
      <c r="B816" s="2" t="n"/>
      <c r="C816" s="2" t="n"/>
      <c r="D816" s="2" t="n"/>
      <c r="E816" s="2" t="n"/>
      <c r="F816" s="2" t="n"/>
      <c r="G816" s="3" t="n"/>
      <c r="H816" s="2" t="n"/>
      <c r="I816" s="3" t="n"/>
      <c r="J816" s="2" t="n"/>
      <c r="K816" s="2" t="n"/>
      <c r="L816" s="2" t="n"/>
      <c r="M816" s="2" t="n"/>
      <c r="N816" s="2" t="n"/>
      <c r="O816" s="2" t="n"/>
      <c r="P816" s="2" t="n"/>
      <c r="Q816" s="4">
        <f>IF(OR(A816="",E816=""),"",IF(MAXIFS($E$2:$E$1001,$A$2:$A$1001,A816,$E$2:$E$1001,"&lt;"&amp;E816)=0,"",SUMIFS($G$2:$G$1001,$A$2:$A$1001,A816,$E$2:$E$1001,MAXIFS($E$2:$E$1001,$A$2:$A$1001,A816,$E$2:$E$1001,"&lt;"&amp;E816))))</f>
        <v/>
      </c>
      <c r="R816" s="9">
        <f>IF(OR(Q816="",G816=""),"",G816-Q816)</f>
        <v/>
      </c>
      <c r="S816" s="9">
        <f>IF(R816="","",SUMIFS($R$2:$R$1001,$A$2:$A$1001,A816,$E$2:$E$1001,"&lt;="&amp;E816))</f>
        <v/>
      </c>
      <c r="T816" s="5">
        <f>IF(A816="","",IF(R816="","initial",IF(ABS(R816)&lt;=ShiftThresholdDays,"unchanged",IF(R816&gt;0,"delayed","accelerated"))))</f>
        <v/>
      </c>
    </row>
    <row r="817">
      <c r="A817" s="2" t="n"/>
      <c r="B817" s="2" t="n"/>
      <c r="C817" s="2" t="n"/>
      <c r="D817" s="2" t="n"/>
      <c r="E817" s="2" t="n"/>
      <c r="F817" s="2" t="n"/>
      <c r="G817" s="3" t="n"/>
      <c r="H817" s="2" t="n"/>
      <c r="I817" s="3" t="n"/>
      <c r="J817" s="2" t="n"/>
      <c r="K817" s="2" t="n"/>
      <c r="L817" s="2" t="n"/>
      <c r="M817" s="2" t="n"/>
      <c r="N817" s="2" t="n"/>
      <c r="O817" s="2" t="n"/>
      <c r="P817" s="2" t="n"/>
      <c r="Q817" s="4">
        <f>IF(OR(A817="",E817=""),"",IF(MAXIFS($E$2:$E$1001,$A$2:$A$1001,A817,$E$2:$E$1001,"&lt;"&amp;E817)=0,"",SUMIFS($G$2:$G$1001,$A$2:$A$1001,A817,$E$2:$E$1001,MAXIFS($E$2:$E$1001,$A$2:$A$1001,A817,$E$2:$E$1001,"&lt;"&amp;E817))))</f>
        <v/>
      </c>
      <c r="R817" s="9">
        <f>IF(OR(Q817="",G817=""),"",G817-Q817)</f>
        <v/>
      </c>
      <c r="S817" s="9">
        <f>IF(R817="","",SUMIFS($R$2:$R$1001,$A$2:$A$1001,A817,$E$2:$E$1001,"&lt;="&amp;E817))</f>
        <v/>
      </c>
      <c r="T817" s="5">
        <f>IF(A817="","",IF(R817="","initial",IF(ABS(R817)&lt;=ShiftThresholdDays,"unchanged",IF(R817&gt;0,"delayed","accelerated"))))</f>
        <v/>
      </c>
    </row>
    <row r="818">
      <c r="A818" s="2" t="n"/>
      <c r="B818" s="2" t="n"/>
      <c r="C818" s="2" t="n"/>
      <c r="D818" s="2" t="n"/>
      <c r="E818" s="2" t="n"/>
      <c r="F818" s="2" t="n"/>
      <c r="G818" s="3" t="n"/>
      <c r="H818" s="2" t="n"/>
      <c r="I818" s="3" t="n"/>
      <c r="J818" s="2" t="n"/>
      <c r="K818" s="2" t="n"/>
      <c r="L818" s="2" t="n"/>
      <c r="M818" s="2" t="n"/>
      <c r="N818" s="2" t="n"/>
      <c r="O818" s="2" t="n"/>
      <c r="P818" s="2" t="n"/>
      <c r="Q818" s="4">
        <f>IF(OR(A818="",E818=""),"",IF(MAXIFS($E$2:$E$1001,$A$2:$A$1001,A818,$E$2:$E$1001,"&lt;"&amp;E818)=0,"",SUMIFS($G$2:$G$1001,$A$2:$A$1001,A818,$E$2:$E$1001,MAXIFS($E$2:$E$1001,$A$2:$A$1001,A818,$E$2:$E$1001,"&lt;"&amp;E818))))</f>
        <v/>
      </c>
      <c r="R818" s="9">
        <f>IF(OR(Q818="",G818=""),"",G818-Q818)</f>
        <v/>
      </c>
      <c r="S818" s="9">
        <f>IF(R818="","",SUMIFS($R$2:$R$1001,$A$2:$A$1001,A818,$E$2:$E$1001,"&lt;="&amp;E818))</f>
        <v/>
      </c>
      <c r="T818" s="5">
        <f>IF(A818="","",IF(R818="","initial",IF(ABS(R818)&lt;=ShiftThresholdDays,"unchanged",IF(R818&gt;0,"delayed","accelerated"))))</f>
        <v/>
      </c>
    </row>
    <row r="819">
      <c r="A819" s="2" t="n"/>
      <c r="B819" s="2" t="n"/>
      <c r="C819" s="2" t="n"/>
      <c r="D819" s="2" t="n"/>
      <c r="E819" s="2" t="n"/>
      <c r="F819" s="2" t="n"/>
      <c r="G819" s="3" t="n"/>
      <c r="H819" s="2" t="n"/>
      <c r="I819" s="3" t="n"/>
      <c r="J819" s="2" t="n"/>
      <c r="K819" s="2" t="n"/>
      <c r="L819" s="2" t="n"/>
      <c r="M819" s="2" t="n"/>
      <c r="N819" s="2" t="n"/>
      <c r="O819" s="2" t="n"/>
      <c r="P819" s="2" t="n"/>
      <c r="Q819" s="4">
        <f>IF(OR(A819="",E819=""),"",IF(MAXIFS($E$2:$E$1001,$A$2:$A$1001,A819,$E$2:$E$1001,"&lt;"&amp;E819)=0,"",SUMIFS($G$2:$G$1001,$A$2:$A$1001,A819,$E$2:$E$1001,MAXIFS($E$2:$E$1001,$A$2:$A$1001,A819,$E$2:$E$1001,"&lt;"&amp;E819))))</f>
        <v/>
      </c>
      <c r="R819" s="9">
        <f>IF(OR(Q819="",G819=""),"",G819-Q819)</f>
        <v/>
      </c>
      <c r="S819" s="9">
        <f>IF(R819="","",SUMIFS($R$2:$R$1001,$A$2:$A$1001,A819,$E$2:$E$1001,"&lt;="&amp;E819))</f>
        <v/>
      </c>
      <c r="T819" s="5">
        <f>IF(A819="","",IF(R819="","initial",IF(ABS(R819)&lt;=ShiftThresholdDays,"unchanged",IF(R819&gt;0,"delayed","accelerated"))))</f>
        <v/>
      </c>
    </row>
    <row r="820">
      <c r="A820" s="2" t="n"/>
      <c r="B820" s="2" t="n"/>
      <c r="C820" s="2" t="n"/>
      <c r="D820" s="2" t="n"/>
      <c r="E820" s="2" t="n"/>
      <c r="F820" s="2" t="n"/>
      <c r="G820" s="3" t="n"/>
      <c r="H820" s="2" t="n"/>
      <c r="I820" s="3" t="n"/>
      <c r="J820" s="2" t="n"/>
      <c r="K820" s="2" t="n"/>
      <c r="L820" s="2" t="n"/>
      <c r="M820" s="2" t="n"/>
      <c r="N820" s="2" t="n"/>
      <c r="O820" s="2" t="n"/>
      <c r="P820" s="2" t="n"/>
      <c r="Q820" s="4">
        <f>IF(OR(A820="",E820=""),"",IF(MAXIFS($E$2:$E$1001,$A$2:$A$1001,A820,$E$2:$E$1001,"&lt;"&amp;E820)=0,"",SUMIFS($G$2:$G$1001,$A$2:$A$1001,A820,$E$2:$E$1001,MAXIFS($E$2:$E$1001,$A$2:$A$1001,A820,$E$2:$E$1001,"&lt;"&amp;E820))))</f>
        <v/>
      </c>
      <c r="R820" s="9">
        <f>IF(OR(Q820="",G820=""),"",G820-Q820)</f>
        <v/>
      </c>
      <c r="S820" s="9">
        <f>IF(R820="","",SUMIFS($R$2:$R$1001,$A$2:$A$1001,A820,$E$2:$E$1001,"&lt;="&amp;E820))</f>
        <v/>
      </c>
      <c r="T820" s="5">
        <f>IF(A820="","",IF(R820="","initial",IF(ABS(R820)&lt;=ShiftThresholdDays,"unchanged",IF(R820&gt;0,"delayed","accelerated"))))</f>
        <v/>
      </c>
    </row>
    <row r="821">
      <c r="A821" s="2" t="n"/>
      <c r="B821" s="2" t="n"/>
      <c r="C821" s="2" t="n"/>
      <c r="D821" s="2" t="n"/>
      <c r="E821" s="2" t="n"/>
      <c r="F821" s="2" t="n"/>
      <c r="G821" s="3" t="n"/>
      <c r="H821" s="2" t="n"/>
      <c r="I821" s="3" t="n"/>
      <c r="J821" s="2" t="n"/>
      <c r="K821" s="2" t="n"/>
      <c r="L821" s="2" t="n"/>
      <c r="M821" s="2" t="n"/>
      <c r="N821" s="2" t="n"/>
      <c r="O821" s="2" t="n"/>
      <c r="P821" s="2" t="n"/>
      <c r="Q821" s="4">
        <f>IF(OR(A821="",E821=""),"",IF(MAXIFS($E$2:$E$1001,$A$2:$A$1001,A821,$E$2:$E$1001,"&lt;"&amp;E821)=0,"",SUMIFS($G$2:$G$1001,$A$2:$A$1001,A821,$E$2:$E$1001,MAXIFS($E$2:$E$1001,$A$2:$A$1001,A821,$E$2:$E$1001,"&lt;"&amp;E821))))</f>
        <v/>
      </c>
      <c r="R821" s="9">
        <f>IF(OR(Q821="",G821=""),"",G821-Q821)</f>
        <v/>
      </c>
      <c r="S821" s="9">
        <f>IF(R821="","",SUMIFS($R$2:$R$1001,$A$2:$A$1001,A821,$E$2:$E$1001,"&lt;="&amp;E821))</f>
        <v/>
      </c>
      <c r="T821" s="5">
        <f>IF(A821="","",IF(R821="","initial",IF(ABS(R821)&lt;=ShiftThresholdDays,"unchanged",IF(R821&gt;0,"delayed","accelerated"))))</f>
        <v/>
      </c>
    </row>
    <row r="822">
      <c r="A822" s="2" t="n"/>
      <c r="B822" s="2" t="n"/>
      <c r="C822" s="2" t="n"/>
      <c r="D822" s="2" t="n"/>
      <c r="E822" s="2" t="n"/>
      <c r="F822" s="2" t="n"/>
      <c r="G822" s="3" t="n"/>
      <c r="H822" s="2" t="n"/>
      <c r="I822" s="3" t="n"/>
      <c r="J822" s="2" t="n"/>
      <c r="K822" s="2" t="n"/>
      <c r="L822" s="2" t="n"/>
      <c r="M822" s="2" t="n"/>
      <c r="N822" s="2" t="n"/>
      <c r="O822" s="2" t="n"/>
      <c r="P822" s="2" t="n"/>
      <c r="Q822" s="4">
        <f>IF(OR(A822="",E822=""),"",IF(MAXIFS($E$2:$E$1001,$A$2:$A$1001,A822,$E$2:$E$1001,"&lt;"&amp;E822)=0,"",SUMIFS($G$2:$G$1001,$A$2:$A$1001,A822,$E$2:$E$1001,MAXIFS($E$2:$E$1001,$A$2:$A$1001,A822,$E$2:$E$1001,"&lt;"&amp;E822))))</f>
        <v/>
      </c>
      <c r="R822" s="9">
        <f>IF(OR(Q822="",G822=""),"",G822-Q822)</f>
        <v/>
      </c>
      <c r="S822" s="9">
        <f>IF(R822="","",SUMIFS($R$2:$R$1001,$A$2:$A$1001,A822,$E$2:$E$1001,"&lt;="&amp;E822))</f>
        <v/>
      </c>
      <c r="T822" s="5">
        <f>IF(A822="","",IF(R822="","initial",IF(ABS(R822)&lt;=ShiftThresholdDays,"unchanged",IF(R822&gt;0,"delayed","accelerated"))))</f>
        <v/>
      </c>
    </row>
    <row r="823">
      <c r="A823" s="2" t="n"/>
      <c r="B823" s="2" t="n"/>
      <c r="C823" s="2" t="n"/>
      <c r="D823" s="2" t="n"/>
      <c r="E823" s="2" t="n"/>
      <c r="F823" s="2" t="n"/>
      <c r="G823" s="3" t="n"/>
      <c r="H823" s="2" t="n"/>
      <c r="I823" s="3" t="n"/>
      <c r="J823" s="2" t="n"/>
      <c r="K823" s="2" t="n"/>
      <c r="L823" s="2" t="n"/>
      <c r="M823" s="2" t="n"/>
      <c r="N823" s="2" t="n"/>
      <c r="O823" s="2" t="n"/>
      <c r="P823" s="2" t="n"/>
      <c r="Q823" s="4">
        <f>IF(OR(A823="",E823=""),"",IF(MAXIFS($E$2:$E$1001,$A$2:$A$1001,A823,$E$2:$E$1001,"&lt;"&amp;E823)=0,"",SUMIFS($G$2:$G$1001,$A$2:$A$1001,A823,$E$2:$E$1001,MAXIFS($E$2:$E$1001,$A$2:$A$1001,A823,$E$2:$E$1001,"&lt;"&amp;E823))))</f>
        <v/>
      </c>
      <c r="R823" s="9">
        <f>IF(OR(Q823="",G823=""),"",G823-Q823)</f>
        <v/>
      </c>
      <c r="S823" s="9">
        <f>IF(R823="","",SUMIFS($R$2:$R$1001,$A$2:$A$1001,A823,$E$2:$E$1001,"&lt;="&amp;E823))</f>
        <v/>
      </c>
      <c r="T823" s="5">
        <f>IF(A823="","",IF(R823="","initial",IF(ABS(R823)&lt;=ShiftThresholdDays,"unchanged",IF(R823&gt;0,"delayed","accelerated"))))</f>
        <v/>
      </c>
    </row>
    <row r="824">
      <c r="A824" s="2" t="n"/>
      <c r="B824" s="2" t="n"/>
      <c r="C824" s="2" t="n"/>
      <c r="D824" s="2" t="n"/>
      <c r="E824" s="2" t="n"/>
      <c r="F824" s="2" t="n"/>
      <c r="G824" s="3" t="n"/>
      <c r="H824" s="2" t="n"/>
      <c r="I824" s="3" t="n"/>
      <c r="J824" s="2" t="n"/>
      <c r="K824" s="2" t="n"/>
      <c r="L824" s="2" t="n"/>
      <c r="M824" s="2" t="n"/>
      <c r="N824" s="2" t="n"/>
      <c r="O824" s="2" t="n"/>
      <c r="P824" s="2" t="n"/>
      <c r="Q824" s="4">
        <f>IF(OR(A824="",E824=""),"",IF(MAXIFS($E$2:$E$1001,$A$2:$A$1001,A824,$E$2:$E$1001,"&lt;"&amp;E824)=0,"",SUMIFS($G$2:$G$1001,$A$2:$A$1001,A824,$E$2:$E$1001,MAXIFS($E$2:$E$1001,$A$2:$A$1001,A824,$E$2:$E$1001,"&lt;"&amp;E824))))</f>
        <v/>
      </c>
      <c r="R824" s="9">
        <f>IF(OR(Q824="",G824=""),"",G824-Q824)</f>
        <v/>
      </c>
      <c r="S824" s="9">
        <f>IF(R824="","",SUMIFS($R$2:$R$1001,$A$2:$A$1001,A824,$E$2:$E$1001,"&lt;="&amp;E824))</f>
        <v/>
      </c>
      <c r="T824" s="5">
        <f>IF(A824="","",IF(R824="","initial",IF(ABS(R824)&lt;=ShiftThresholdDays,"unchanged",IF(R824&gt;0,"delayed","accelerated"))))</f>
        <v/>
      </c>
    </row>
    <row r="825">
      <c r="A825" s="2" t="n"/>
      <c r="B825" s="2" t="n"/>
      <c r="C825" s="2" t="n"/>
      <c r="D825" s="2" t="n"/>
      <c r="E825" s="2" t="n"/>
      <c r="F825" s="2" t="n"/>
      <c r="G825" s="3" t="n"/>
      <c r="H825" s="2" t="n"/>
      <c r="I825" s="3" t="n"/>
      <c r="J825" s="2" t="n"/>
      <c r="K825" s="2" t="n"/>
      <c r="L825" s="2" t="n"/>
      <c r="M825" s="2" t="n"/>
      <c r="N825" s="2" t="n"/>
      <c r="O825" s="2" t="n"/>
      <c r="P825" s="2" t="n"/>
      <c r="Q825" s="4">
        <f>IF(OR(A825="",E825=""),"",IF(MAXIFS($E$2:$E$1001,$A$2:$A$1001,A825,$E$2:$E$1001,"&lt;"&amp;E825)=0,"",SUMIFS($G$2:$G$1001,$A$2:$A$1001,A825,$E$2:$E$1001,MAXIFS($E$2:$E$1001,$A$2:$A$1001,A825,$E$2:$E$1001,"&lt;"&amp;E825))))</f>
        <v/>
      </c>
      <c r="R825" s="9">
        <f>IF(OR(Q825="",G825=""),"",G825-Q825)</f>
        <v/>
      </c>
      <c r="S825" s="9">
        <f>IF(R825="","",SUMIFS($R$2:$R$1001,$A$2:$A$1001,A825,$E$2:$E$1001,"&lt;="&amp;E825))</f>
        <v/>
      </c>
      <c r="T825" s="5">
        <f>IF(A825="","",IF(R825="","initial",IF(ABS(R825)&lt;=ShiftThresholdDays,"unchanged",IF(R825&gt;0,"delayed","accelerated"))))</f>
        <v/>
      </c>
    </row>
    <row r="826">
      <c r="A826" s="2" t="n"/>
      <c r="B826" s="2" t="n"/>
      <c r="C826" s="2" t="n"/>
      <c r="D826" s="2" t="n"/>
      <c r="E826" s="2" t="n"/>
      <c r="F826" s="2" t="n"/>
      <c r="G826" s="3" t="n"/>
      <c r="H826" s="2" t="n"/>
      <c r="I826" s="3" t="n"/>
      <c r="J826" s="2" t="n"/>
      <c r="K826" s="2" t="n"/>
      <c r="L826" s="2" t="n"/>
      <c r="M826" s="2" t="n"/>
      <c r="N826" s="2" t="n"/>
      <c r="O826" s="2" t="n"/>
      <c r="P826" s="2" t="n"/>
      <c r="Q826" s="4">
        <f>IF(OR(A826="",E826=""),"",IF(MAXIFS($E$2:$E$1001,$A$2:$A$1001,A826,$E$2:$E$1001,"&lt;"&amp;E826)=0,"",SUMIFS($G$2:$G$1001,$A$2:$A$1001,A826,$E$2:$E$1001,MAXIFS($E$2:$E$1001,$A$2:$A$1001,A826,$E$2:$E$1001,"&lt;"&amp;E826))))</f>
        <v/>
      </c>
      <c r="R826" s="9">
        <f>IF(OR(Q826="",G826=""),"",G826-Q826)</f>
        <v/>
      </c>
      <c r="S826" s="9">
        <f>IF(R826="","",SUMIFS($R$2:$R$1001,$A$2:$A$1001,A826,$E$2:$E$1001,"&lt;="&amp;E826))</f>
        <v/>
      </c>
      <c r="T826" s="5">
        <f>IF(A826="","",IF(R826="","initial",IF(ABS(R826)&lt;=ShiftThresholdDays,"unchanged",IF(R826&gt;0,"delayed","accelerated"))))</f>
        <v/>
      </c>
    </row>
    <row r="827">
      <c r="A827" s="2" t="n"/>
      <c r="B827" s="2" t="n"/>
      <c r="C827" s="2" t="n"/>
      <c r="D827" s="2" t="n"/>
      <c r="E827" s="2" t="n"/>
      <c r="F827" s="2" t="n"/>
      <c r="G827" s="3" t="n"/>
      <c r="H827" s="2" t="n"/>
      <c r="I827" s="3" t="n"/>
      <c r="J827" s="2" t="n"/>
      <c r="K827" s="2" t="n"/>
      <c r="L827" s="2" t="n"/>
      <c r="M827" s="2" t="n"/>
      <c r="N827" s="2" t="n"/>
      <c r="O827" s="2" t="n"/>
      <c r="P827" s="2" t="n"/>
      <c r="Q827" s="4">
        <f>IF(OR(A827="",E827=""),"",IF(MAXIFS($E$2:$E$1001,$A$2:$A$1001,A827,$E$2:$E$1001,"&lt;"&amp;E827)=0,"",SUMIFS($G$2:$G$1001,$A$2:$A$1001,A827,$E$2:$E$1001,MAXIFS($E$2:$E$1001,$A$2:$A$1001,A827,$E$2:$E$1001,"&lt;"&amp;E827))))</f>
        <v/>
      </c>
      <c r="R827" s="9">
        <f>IF(OR(Q827="",G827=""),"",G827-Q827)</f>
        <v/>
      </c>
      <c r="S827" s="9">
        <f>IF(R827="","",SUMIFS($R$2:$R$1001,$A$2:$A$1001,A827,$E$2:$E$1001,"&lt;="&amp;E827))</f>
        <v/>
      </c>
      <c r="T827" s="5">
        <f>IF(A827="","",IF(R827="","initial",IF(ABS(R827)&lt;=ShiftThresholdDays,"unchanged",IF(R827&gt;0,"delayed","accelerated"))))</f>
        <v/>
      </c>
    </row>
    <row r="828">
      <c r="A828" s="2" t="n"/>
      <c r="B828" s="2" t="n"/>
      <c r="C828" s="2" t="n"/>
      <c r="D828" s="2" t="n"/>
      <c r="E828" s="2" t="n"/>
      <c r="F828" s="2" t="n"/>
      <c r="G828" s="3" t="n"/>
      <c r="H828" s="2" t="n"/>
      <c r="I828" s="3" t="n"/>
      <c r="J828" s="2" t="n"/>
      <c r="K828" s="2" t="n"/>
      <c r="L828" s="2" t="n"/>
      <c r="M828" s="2" t="n"/>
      <c r="N828" s="2" t="n"/>
      <c r="O828" s="2" t="n"/>
      <c r="P828" s="2" t="n"/>
      <c r="Q828" s="4">
        <f>IF(OR(A828="",E828=""),"",IF(MAXIFS($E$2:$E$1001,$A$2:$A$1001,A828,$E$2:$E$1001,"&lt;"&amp;E828)=0,"",SUMIFS($G$2:$G$1001,$A$2:$A$1001,A828,$E$2:$E$1001,MAXIFS($E$2:$E$1001,$A$2:$A$1001,A828,$E$2:$E$1001,"&lt;"&amp;E828))))</f>
        <v/>
      </c>
      <c r="R828" s="9">
        <f>IF(OR(Q828="",G828=""),"",G828-Q828)</f>
        <v/>
      </c>
      <c r="S828" s="9">
        <f>IF(R828="","",SUMIFS($R$2:$R$1001,$A$2:$A$1001,A828,$E$2:$E$1001,"&lt;="&amp;E828))</f>
        <v/>
      </c>
      <c r="T828" s="5">
        <f>IF(A828="","",IF(R828="","initial",IF(ABS(R828)&lt;=ShiftThresholdDays,"unchanged",IF(R828&gt;0,"delayed","accelerated"))))</f>
        <v/>
      </c>
    </row>
    <row r="829">
      <c r="A829" s="2" t="n"/>
      <c r="B829" s="2" t="n"/>
      <c r="C829" s="2" t="n"/>
      <c r="D829" s="2" t="n"/>
      <c r="E829" s="2" t="n"/>
      <c r="F829" s="2" t="n"/>
      <c r="G829" s="3" t="n"/>
      <c r="H829" s="2" t="n"/>
      <c r="I829" s="3" t="n"/>
      <c r="J829" s="2" t="n"/>
      <c r="K829" s="2" t="n"/>
      <c r="L829" s="2" t="n"/>
      <c r="M829" s="2" t="n"/>
      <c r="N829" s="2" t="n"/>
      <c r="O829" s="2" t="n"/>
      <c r="P829" s="2" t="n"/>
      <c r="Q829" s="4">
        <f>IF(OR(A829="",E829=""),"",IF(MAXIFS($E$2:$E$1001,$A$2:$A$1001,A829,$E$2:$E$1001,"&lt;"&amp;E829)=0,"",SUMIFS($G$2:$G$1001,$A$2:$A$1001,A829,$E$2:$E$1001,MAXIFS($E$2:$E$1001,$A$2:$A$1001,A829,$E$2:$E$1001,"&lt;"&amp;E829))))</f>
        <v/>
      </c>
      <c r="R829" s="9">
        <f>IF(OR(Q829="",G829=""),"",G829-Q829)</f>
        <v/>
      </c>
      <c r="S829" s="9">
        <f>IF(R829="","",SUMIFS($R$2:$R$1001,$A$2:$A$1001,A829,$E$2:$E$1001,"&lt;="&amp;E829))</f>
        <v/>
      </c>
      <c r="T829" s="5">
        <f>IF(A829="","",IF(R829="","initial",IF(ABS(R829)&lt;=ShiftThresholdDays,"unchanged",IF(R829&gt;0,"delayed","accelerated"))))</f>
        <v/>
      </c>
    </row>
    <row r="830">
      <c r="A830" s="2" t="n"/>
      <c r="B830" s="2" t="n"/>
      <c r="C830" s="2" t="n"/>
      <c r="D830" s="2" t="n"/>
      <c r="E830" s="2" t="n"/>
      <c r="F830" s="2" t="n"/>
      <c r="G830" s="3" t="n"/>
      <c r="H830" s="2" t="n"/>
      <c r="I830" s="3" t="n"/>
      <c r="J830" s="2" t="n"/>
      <c r="K830" s="2" t="n"/>
      <c r="L830" s="2" t="n"/>
      <c r="M830" s="2" t="n"/>
      <c r="N830" s="2" t="n"/>
      <c r="O830" s="2" t="n"/>
      <c r="P830" s="2" t="n"/>
      <c r="Q830" s="4">
        <f>IF(OR(A830="",E830=""),"",IF(MAXIFS($E$2:$E$1001,$A$2:$A$1001,A830,$E$2:$E$1001,"&lt;"&amp;E830)=0,"",SUMIFS($G$2:$G$1001,$A$2:$A$1001,A830,$E$2:$E$1001,MAXIFS($E$2:$E$1001,$A$2:$A$1001,A830,$E$2:$E$1001,"&lt;"&amp;E830))))</f>
        <v/>
      </c>
      <c r="R830" s="9">
        <f>IF(OR(Q830="",G830=""),"",G830-Q830)</f>
        <v/>
      </c>
      <c r="S830" s="9">
        <f>IF(R830="","",SUMIFS($R$2:$R$1001,$A$2:$A$1001,A830,$E$2:$E$1001,"&lt;="&amp;E830))</f>
        <v/>
      </c>
      <c r="T830" s="5">
        <f>IF(A830="","",IF(R830="","initial",IF(ABS(R830)&lt;=ShiftThresholdDays,"unchanged",IF(R830&gt;0,"delayed","accelerated"))))</f>
        <v/>
      </c>
    </row>
    <row r="831">
      <c r="A831" s="2" t="n"/>
      <c r="B831" s="2" t="n"/>
      <c r="C831" s="2" t="n"/>
      <c r="D831" s="2" t="n"/>
      <c r="E831" s="2" t="n"/>
      <c r="F831" s="2" t="n"/>
      <c r="G831" s="3" t="n"/>
      <c r="H831" s="2" t="n"/>
      <c r="I831" s="3" t="n"/>
      <c r="J831" s="2" t="n"/>
      <c r="K831" s="2" t="n"/>
      <c r="L831" s="2" t="n"/>
      <c r="M831" s="2" t="n"/>
      <c r="N831" s="2" t="n"/>
      <c r="O831" s="2" t="n"/>
      <c r="P831" s="2" t="n"/>
      <c r="Q831" s="4">
        <f>IF(OR(A831="",E831=""),"",IF(MAXIFS($E$2:$E$1001,$A$2:$A$1001,A831,$E$2:$E$1001,"&lt;"&amp;E831)=0,"",SUMIFS($G$2:$G$1001,$A$2:$A$1001,A831,$E$2:$E$1001,MAXIFS($E$2:$E$1001,$A$2:$A$1001,A831,$E$2:$E$1001,"&lt;"&amp;E831))))</f>
        <v/>
      </c>
      <c r="R831" s="9">
        <f>IF(OR(Q831="",G831=""),"",G831-Q831)</f>
        <v/>
      </c>
      <c r="S831" s="9">
        <f>IF(R831="","",SUMIFS($R$2:$R$1001,$A$2:$A$1001,A831,$E$2:$E$1001,"&lt;="&amp;E831))</f>
        <v/>
      </c>
      <c r="T831" s="5">
        <f>IF(A831="","",IF(R831="","initial",IF(ABS(R831)&lt;=ShiftThresholdDays,"unchanged",IF(R831&gt;0,"delayed","accelerated"))))</f>
        <v/>
      </c>
    </row>
    <row r="832">
      <c r="A832" s="2" t="n"/>
      <c r="B832" s="2" t="n"/>
      <c r="C832" s="2" t="n"/>
      <c r="D832" s="2" t="n"/>
      <c r="E832" s="2" t="n"/>
      <c r="F832" s="2" t="n"/>
      <c r="G832" s="3" t="n"/>
      <c r="H832" s="2" t="n"/>
      <c r="I832" s="3" t="n"/>
      <c r="J832" s="2" t="n"/>
      <c r="K832" s="2" t="n"/>
      <c r="L832" s="2" t="n"/>
      <c r="M832" s="2" t="n"/>
      <c r="N832" s="2" t="n"/>
      <c r="O832" s="2" t="n"/>
      <c r="P832" s="2" t="n"/>
      <c r="Q832" s="4">
        <f>IF(OR(A832="",E832=""),"",IF(MAXIFS($E$2:$E$1001,$A$2:$A$1001,A832,$E$2:$E$1001,"&lt;"&amp;E832)=0,"",SUMIFS($G$2:$G$1001,$A$2:$A$1001,A832,$E$2:$E$1001,MAXIFS($E$2:$E$1001,$A$2:$A$1001,A832,$E$2:$E$1001,"&lt;"&amp;E832))))</f>
        <v/>
      </c>
      <c r="R832" s="9">
        <f>IF(OR(Q832="",G832=""),"",G832-Q832)</f>
        <v/>
      </c>
      <c r="S832" s="9">
        <f>IF(R832="","",SUMIFS($R$2:$R$1001,$A$2:$A$1001,A832,$E$2:$E$1001,"&lt;="&amp;E832))</f>
        <v/>
      </c>
      <c r="T832" s="5">
        <f>IF(A832="","",IF(R832="","initial",IF(ABS(R832)&lt;=ShiftThresholdDays,"unchanged",IF(R832&gt;0,"delayed","accelerated"))))</f>
        <v/>
      </c>
    </row>
    <row r="833">
      <c r="A833" s="2" t="n"/>
      <c r="B833" s="2" t="n"/>
      <c r="C833" s="2" t="n"/>
      <c r="D833" s="2" t="n"/>
      <c r="E833" s="2" t="n"/>
      <c r="F833" s="2" t="n"/>
      <c r="G833" s="3" t="n"/>
      <c r="H833" s="2" t="n"/>
      <c r="I833" s="3" t="n"/>
      <c r="J833" s="2" t="n"/>
      <c r="K833" s="2" t="n"/>
      <c r="L833" s="2" t="n"/>
      <c r="M833" s="2" t="n"/>
      <c r="N833" s="2" t="n"/>
      <c r="O833" s="2" t="n"/>
      <c r="P833" s="2" t="n"/>
      <c r="Q833" s="4">
        <f>IF(OR(A833="",E833=""),"",IF(MAXIFS($E$2:$E$1001,$A$2:$A$1001,A833,$E$2:$E$1001,"&lt;"&amp;E833)=0,"",SUMIFS($G$2:$G$1001,$A$2:$A$1001,A833,$E$2:$E$1001,MAXIFS($E$2:$E$1001,$A$2:$A$1001,A833,$E$2:$E$1001,"&lt;"&amp;E833))))</f>
        <v/>
      </c>
      <c r="R833" s="9">
        <f>IF(OR(Q833="",G833=""),"",G833-Q833)</f>
        <v/>
      </c>
      <c r="S833" s="9">
        <f>IF(R833="","",SUMIFS($R$2:$R$1001,$A$2:$A$1001,A833,$E$2:$E$1001,"&lt;="&amp;E833))</f>
        <v/>
      </c>
      <c r="T833" s="5">
        <f>IF(A833="","",IF(R833="","initial",IF(ABS(R833)&lt;=ShiftThresholdDays,"unchanged",IF(R833&gt;0,"delayed","accelerated"))))</f>
        <v/>
      </c>
    </row>
    <row r="834">
      <c r="A834" s="2" t="n"/>
      <c r="B834" s="2" t="n"/>
      <c r="C834" s="2" t="n"/>
      <c r="D834" s="2" t="n"/>
      <c r="E834" s="2" t="n"/>
      <c r="F834" s="2" t="n"/>
      <c r="G834" s="3" t="n"/>
      <c r="H834" s="2" t="n"/>
      <c r="I834" s="3" t="n"/>
      <c r="J834" s="2" t="n"/>
      <c r="K834" s="2" t="n"/>
      <c r="L834" s="2" t="n"/>
      <c r="M834" s="2" t="n"/>
      <c r="N834" s="2" t="n"/>
      <c r="O834" s="2" t="n"/>
      <c r="P834" s="2" t="n"/>
      <c r="Q834" s="4">
        <f>IF(OR(A834="",E834=""),"",IF(MAXIFS($E$2:$E$1001,$A$2:$A$1001,A834,$E$2:$E$1001,"&lt;"&amp;E834)=0,"",SUMIFS($G$2:$G$1001,$A$2:$A$1001,A834,$E$2:$E$1001,MAXIFS($E$2:$E$1001,$A$2:$A$1001,A834,$E$2:$E$1001,"&lt;"&amp;E834))))</f>
        <v/>
      </c>
      <c r="R834" s="9">
        <f>IF(OR(Q834="",G834=""),"",G834-Q834)</f>
        <v/>
      </c>
      <c r="S834" s="9">
        <f>IF(R834="","",SUMIFS($R$2:$R$1001,$A$2:$A$1001,A834,$E$2:$E$1001,"&lt;="&amp;E834))</f>
        <v/>
      </c>
      <c r="T834" s="5">
        <f>IF(A834="","",IF(R834="","initial",IF(ABS(R834)&lt;=ShiftThresholdDays,"unchanged",IF(R834&gt;0,"delayed","accelerated"))))</f>
        <v/>
      </c>
    </row>
    <row r="835">
      <c r="A835" s="2" t="n"/>
      <c r="B835" s="2" t="n"/>
      <c r="C835" s="2" t="n"/>
      <c r="D835" s="2" t="n"/>
      <c r="E835" s="2" t="n"/>
      <c r="F835" s="2" t="n"/>
      <c r="G835" s="3" t="n"/>
      <c r="H835" s="2" t="n"/>
      <c r="I835" s="3" t="n"/>
      <c r="J835" s="2" t="n"/>
      <c r="K835" s="2" t="n"/>
      <c r="L835" s="2" t="n"/>
      <c r="M835" s="2" t="n"/>
      <c r="N835" s="2" t="n"/>
      <c r="O835" s="2" t="n"/>
      <c r="P835" s="2" t="n"/>
      <c r="Q835" s="4">
        <f>IF(OR(A835="",E835=""),"",IF(MAXIFS($E$2:$E$1001,$A$2:$A$1001,A835,$E$2:$E$1001,"&lt;"&amp;E835)=0,"",SUMIFS($G$2:$G$1001,$A$2:$A$1001,A835,$E$2:$E$1001,MAXIFS($E$2:$E$1001,$A$2:$A$1001,A835,$E$2:$E$1001,"&lt;"&amp;E835))))</f>
        <v/>
      </c>
      <c r="R835" s="9">
        <f>IF(OR(Q835="",G835=""),"",G835-Q835)</f>
        <v/>
      </c>
      <c r="S835" s="9">
        <f>IF(R835="","",SUMIFS($R$2:$R$1001,$A$2:$A$1001,A835,$E$2:$E$1001,"&lt;="&amp;E835))</f>
        <v/>
      </c>
      <c r="T835" s="5">
        <f>IF(A835="","",IF(R835="","initial",IF(ABS(R835)&lt;=ShiftThresholdDays,"unchanged",IF(R835&gt;0,"delayed","accelerated"))))</f>
        <v/>
      </c>
    </row>
    <row r="836">
      <c r="A836" s="2" t="n"/>
      <c r="B836" s="2" t="n"/>
      <c r="C836" s="2" t="n"/>
      <c r="D836" s="2" t="n"/>
      <c r="E836" s="2" t="n"/>
      <c r="F836" s="2" t="n"/>
      <c r="G836" s="3" t="n"/>
      <c r="H836" s="2" t="n"/>
      <c r="I836" s="3" t="n"/>
      <c r="J836" s="2" t="n"/>
      <c r="K836" s="2" t="n"/>
      <c r="L836" s="2" t="n"/>
      <c r="M836" s="2" t="n"/>
      <c r="N836" s="2" t="n"/>
      <c r="O836" s="2" t="n"/>
      <c r="P836" s="2" t="n"/>
      <c r="Q836" s="4">
        <f>IF(OR(A836="",E836=""),"",IF(MAXIFS($E$2:$E$1001,$A$2:$A$1001,A836,$E$2:$E$1001,"&lt;"&amp;E836)=0,"",SUMIFS($G$2:$G$1001,$A$2:$A$1001,A836,$E$2:$E$1001,MAXIFS($E$2:$E$1001,$A$2:$A$1001,A836,$E$2:$E$1001,"&lt;"&amp;E836))))</f>
        <v/>
      </c>
      <c r="R836" s="9">
        <f>IF(OR(Q836="",G836=""),"",G836-Q836)</f>
        <v/>
      </c>
      <c r="S836" s="9">
        <f>IF(R836="","",SUMIFS($R$2:$R$1001,$A$2:$A$1001,A836,$E$2:$E$1001,"&lt;="&amp;E836))</f>
        <v/>
      </c>
      <c r="T836" s="5">
        <f>IF(A836="","",IF(R836="","initial",IF(ABS(R836)&lt;=ShiftThresholdDays,"unchanged",IF(R836&gt;0,"delayed","accelerated"))))</f>
        <v/>
      </c>
    </row>
    <row r="837">
      <c r="A837" s="2" t="n"/>
      <c r="B837" s="2" t="n"/>
      <c r="C837" s="2" t="n"/>
      <c r="D837" s="2" t="n"/>
      <c r="E837" s="2" t="n"/>
      <c r="F837" s="2" t="n"/>
      <c r="G837" s="3" t="n"/>
      <c r="H837" s="2" t="n"/>
      <c r="I837" s="3" t="n"/>
      <c r="J837" s="2" t="n"/>
      <c r="K837" s="2" t="n"/>
      <c r="L837" s="2" t="n"/>
      <c r="M837" s="2" t="n"/>
      <c r="N837" s="2" t="n"/>
      <c r="O837" s="2" t="n"/>
      <c r="P837" s="2" t="n"/>
      <c r="Q837" s="4">
        <f>IF(OR(A837="",E837=""),"",IF(MAXIFS($E$2:$E$1001,$A$2:$A$1001,A837,$E$2:$E$1001,"&lt;"&amp;E837)=0,"",SUMIFS($G$2:$G$1001,$A$2:$A$1001,A837,$E$2:$E$1001,MAXIFS($E$2:$E$1001,$A$2:$A$1001,A837,$E$2:$E$1001,"&lt;"&amp;E837))))</f>
        <v/>
      </c>
      <c r="R837" s="9">
        <f>IF(OR(Q837="",G837=""),"",G837-Q837)</f>
        <v/>
      </c>
      <c r="S837" s="9">
        <f>IF(R837="","",SUMIFS($R$2:$R$1001,$A$2:$A$1001,A837,$E$2:$E$1001,"&lt;="&amp;E837))</f>
        <v/>
      </c>
      <c r="T837" s="5">
        <f>IF(A837="","",IF(R837="","initial",IF(ABS(R837)&lt;=ShiftThresholdDays,"unchanged",IF(R837&gt;0,"delayed","accelerated"))))</f>
        <v/>
      </c>
    </row>
    <row r="838">
      <c r="A838" s="2" t="n"/>
      <c r="B838" s="2" t="n"/>
      <c r="C838" s="2" t="n"/>
      <c r="D838" s="2" t="n"/>
      <c r="E838" s="2" t="n"/>
      <c r="F838" s="2" t="n"/>
      <c r="G838" s="3" t="n"/>
      <c r="H838" s="2" t="n"/>
      <c r="I838" s="3" t="n"/>
      <c r="J838" s="2" t="n"/>
      <c r="K838" s="2" t="n"/>
      <c r="L838" s="2" t="n"/>
      <c r="M838" s="2" t="n"/>
      <c r="N838" s="2" t="n"/>
      <c r="O838" s="2" t="n"/>
      <c r="P838" s="2" t="n"/>
      <c r="Q838" s="4">
        <f>IF(OR(A838="",E838=""),"",IF(MAXIFS($E$2:$E$1001,$A$2:$A$1001,A838,$E$2:$E$1001,"&lt;"&amp;E838)=0,"",SUMIFS($G$2:$G$1001,$A$2:$A$1001,A838,$E$2:$E$1001,MAXIFS($E$2:$E$1001,$A$2:$A$1001,A838,$E$2:$E$1001,"&lt;"&amp;E838))))</f>
        <v/>
      </c>
      <c r="R838" s="9">
        <f>IF(OR(Q838="",G838=""),"",G838-Q838)</f>
        <v/>
      </c>
      <c r="S838" s="9">
        <f>IF(R838="","",SUMIFS($R$2:$R$1001,$A$2:$A$1001,A838,$E$2:$E$1001,"&lt;="&amp;E838))</f>
        <v/>
      </c>
      <c r="T838" s="5">
        <f>IF(A838="","",IF(R838="","initial",IF(ABS(R838)&lt;=ShiftThresholdDays,"unchanged",IF(R838&gt;0,"delayed","accelerated"))))</f>
        <v/>
      </c>
    </row>
    <row r="839">
      <c r="A839" s="2" t="n"/>
      <c r="B839" s="2" t="n"/>
      <c r="C839" s="2" t="n"/>
      <c r="D839" s="2" t="n"/>
      <c r="E839" s="2" t="n"/>
      <c r="F839" s="2" t="n"/>
      <c r="G839" s="3" t="n"/>
      <c r="H839" s="2" t="n"/>
      <c r="I839" s="3" t="n"/>
      <c r="J839" s="2" t="n"/>
      <c r="K839" s="2" t="n"/>
      <c r="L839" s="2" t="n"/>
      <c r="M839" s="2" t="n"/>
      <c r="N839" s="2" t="n"/>
      <c r="O839" s="2" t="n"/>
      <c r="P839" s="2" t="n"/>
      <c r="Q839" s="4">
        <f>IF(OR(A839="",E839=""),"",IF(MAXIFS($E$2:$E$1001,$A$2:$A$1001,A839,$E$2:$E$1001,"&lt;"&amp;E839)=0,"",SUMIFS($G$2:$G$1001,$A$2:$A$1001,A839,$E$2:$E$1001,MAXIFS($E$2:$E$1001,$A$2:$A$1001,A839,$E$2:$E$1001,"&lt;"&amp;E839))))</f>
        <v/>
      </c>
      <c r="R839" s="9">
        <f>IF(OR(Q839="",G839=""),"",G839-Q839)</f>
        <v/>
      </c>
      <c r="S839" s="9">
        <f>IF(R839="","",SUMIFS($R$2:$R$1001,$A$2:$A$1001,A839,$E$2:$E$1001,"&lt;="&amp;E839))</f>
        <v/>
      </c>
      <c r="T839" s="5">
        <f>IF(A839="","",IF(R839="","initial",IF(ABS(R839)&lt;=ShiftThresholdDays,"unchanged",IF(R839&gt;0,"delayed","accelerated"))))</f>
        <v/>
      </c>
    </row>
    <row r="840">
      <c r="A840" s="2" t="n"/>
      <c r="B840" s="2" t="n"/>
      <c r="C840" s="2" t="n"/>
      <c r="D840" s="2" t="n"/>
      <c r="E840" s="2" t="n"/>
      <c r="F840" s="2" t="n"/>
      <c r="G840" s="3" t="n"/>
      <c r="H840" s="2" t="n"/>
      <c r="I840" s="3" t="n"/>
      <c r="J840" s="2" t="n"/>
      <c r="K840" s="2" t="n"/>
      <c r="L840" s="2" t="n"/>
      <c r="M840" s="2" t="n"/>
      <c r="N840" s="2" t="n"/>
      <c r="O840" s="2" t="n"/>
      <c r="P840" s="2" t="n"/>
      <c r="Q840" s="4">
        <f>IF(OR(A840="",E840=""),"",IF(MAXIFS($E$2:$E$1001,$A$2:$A$1001,A840,$E$2:$E$1001,"&lt;"&amp;E840)=0,"",SUMIFS($G$2:$G$1001,$A$2:$A$1001,A840,$E$2:$E$1001,MAXIFS($E$2:$E$1001,$A$2:$A$1001,A840,$E$2:$E$1001,"&lt;"&amp;E840))))</f>
        <v/>
      </c>
      <c r="R840" s="9">
        <f>IF(OR(Q840="",G840=""),"",G840-Q840)</f>
        <v/>
      </c>
      <c r="S840" s="9">
        <f>IF(R840="","",SUMIFS($R$2:$R$1001,$A$2:$A$1001,A840,$E$2:$E$1001,"&lt;="&amp;E840))</f>
        <v/>
      </c>
      <c r="T840" s="5">
        <f>IF(A840="","",IF(R840="","initial",IF(ABS(R840)&lt;=ShiftThresholdDays,"unchanged",IF(R840&gt;0,"delayed","accelerated"))))</f>
        <v/>
      </c>
    </row>
    <row r="841">
      <c r="A841" s="2" t="n"/>
      <c r="B841" s="2" t="n"/>
      <c r="C841" s="2" t="n"/>
      <c r="D841" s="2" t="n"/>
      <c r="E841" s="2" t="n"/>
      <c r="F841" s="2" t="n"/>
      <c r="G841" s="3" t="n"/>
      <c r="H841" s="2" t="n"/>
      <c r="I841" s="3" t="n"/>
      <c r="J841" s="2" t="n"/>
      <c r="K841" s="2" t="n"/>
      <c r="L841" s="2" t="n"/>
      <c r="M841" s="2" t="n"/>
      <c r="N841" s="2" t="n"/>
      <c r="O841" s="2" t="n"/>
      <c r="P841" s="2" t="n"/>
      <c r="Q841" s="4">
        <f>IF(OR(A841="",E841=""),"",IF(MAXIFS($E$2:$E$1001,$A$2:$A$1001,A841,$E$2:$E$1001,"&lt;"&amp;E841)=0,"",SUMIFS($G$2:$G$1001,$A$2:$A$1001,A841,$E$2:$E$1001,MAXIFS($E$2:$E$1001,$A$2:$A$1001,A841,$E$2:$E$1001,"&lt;"&amp;E841))))</f>
        <v/>
      </c>
      <c r="R841" s="9">
        <f>IF(OR(Q841="",G841=""),"",G841-Q841)</f>
        <v/>
      </c>
      <c r="S841" s="9">
        <f>IF(R841="","",SUMIFS($R$2:$R$1001,$A$2:$A$1001,A841,$E$2:$E$1001,"&lt;="&amp;E841))</f>
        <v/>
      </c>
      <c r="T841" s="5">
        <f>IF(A841="","",IF(R841="","initial",IF(ABS(R841)&lt;=ShiftThresholdDays,"unchanged",IF(R841&gt;0,"delayed","accelerated"))))</f>
        <v/>
      </c>
    </row>
    <row r="842">
      <c r="A842" s="2" t="n"/>
      <c r="B842" s="2" t="n"/>
      <c r="C842" s="2" t="n"/>
      <c r="D842" s="2" t="n"/>
      <c r="E842" s="2" t="n"/>
      <c r="F842" s="2" t="n"/>
      <c r="G842" s="3" t="n"/>
      <c r="H842" s="2" t="n"/>
      <c r="I842" s="3" t="n"/>
      <c r="J842" s="2" t="n"/>
      <c r="K842" s="2" t="n"/>
      <c r="L842" s="2" t="n"/>
      <c r="M842" s="2" t="n"/>
      <c r="N842" s="2" t="n"/>
      <c r="O842" s="2" t="n"/>
      <c r="P842" s="2" t="n"/>
      <c r="Q842" s="4">
        <f>IF(OR(A842="",E842=""),"",IF(MAXIFS($E$2:$E$1001,$A$2:$A$1001,A842,$E$2:$E$1001,"&lt;"&amp;E842)=0,"",SUMIFS($G$2:$G$1001,$A$2:$A$1001,A842,$E$2:$E$1001,MAXIFS($E$2:$E$1001,$A$2:$A$1001,A842,$E$2:$E$1001,"&lt;"&amp;E842))))</f>
        <v/>
      </c>
      <c r="R842" s="9">
        <f>IF(OR(Q842="",G842=""),"",G842-Q842)</f>
        <v/>
      </c>
      <c r="S842" s="9">
        <f>IF(R842="","",SUMIFS($R$2:$R$1001,$A$2:$A$1001,A842,$E$2:$E$1001,"&lt;="&amp;E842))</f>
        <v/>
      </c>
      <c r="T842" s="5">
        <f>IF(A842="","",IF(R842="","initial",IF(ABS(R842)&lt;=ShiftThresholdDays,"unchanged",IF(R842&gt;0,"delayed","accelerated"))))</f>
        <v/>
      </c>
    </row>
    <row r="843">
      <c r="A843" s="2" t="n"/>
      <c r="B843" s="2" t="n"/>
      <c r="C843" s="2" t="n"/>
      <c r="D843" s="2" t="n"/>
      <c r="E843" s="2" t="n"/>
      <c r="F843" s="2" t="n"/>
      <c r="G843" s="3" t="n"/>
      <c r="H843" s="2" t="n"/>
      <c r="I843" s="3" t="n"/>
      <c r="J843" s="2" t="n"/>
      <c r="K843" s="2" t="n"/>
      <c r="L843" s="2" t="n"/>
      <c r="M843" s="2" t="n"/>
      <c r="N843" s="2" t="n"/>
      <c r="O843" s="2" t="n"/>
      <c r="P843" s="2" t="n"/>
      <c r="Q843" s="4">
        <f>IF(OR(A843="",E843=""),"",IF(MAXIFS($E$2:$E$1001,$A$2:$A$1001,A843,$E$2:$E$1001,"&lt;"&amp;E843)=0,"",SUMIFS($G$2:$G$1001,$A$2:$A$1001,A843,$E$2:$E$1001,MAXIFS($E$2:$E$1001,$A$2:$A$1001,A843,$E$2:$E$1001,"&lt;"&amp;E843))))</f>
        <v/>
      </c>
      <c r="R843" s="9">
        <f>IF(OR(Q843="",G843=""),"",G843-Q843)</f>
        <v/>
      </c>
      <c r="S843" s="9">
        <f>IF(R843="","",SUMIFS($R$2:$R$1001,$A$2:$A$1001,A843,$E$2:$E$1001,"&lt;="&amp;E843))</f>
        <v/>
      </c>
      <c r="T843" s="5">
        <f>IF(A843="","",IF(R843="","initial",IF(ABS(R843)&lt;=ShiftThresholdDays,"unchanged",IF(R843&gt;0,"delayed","accelerated"))))</f>
        <v/>
      </c>
    </row>
    <row r="844">
      <c r="A844" s="2" t="n"/>
      <c r="B844" s="2" t="n"/>
      <c r="C844" s="2" t="n"/>
      <c r="D844" s="2" t="n"/>
      <c r="E844" s="2" t="n"/>
      <c r="F844" s="2" t="n"/>
      <c r="G844" s="3" t="n"/>
      <c r="H844" s="2" t="n"/>
      <c r="I844" s="3" t="n"/>
      <c r="J844" s="2" t="n"/>
      <c r="K844" s="2" t="n"/>
      <c r="L844" s="2" t="n"/>
      <c r="M844" s="2" t="n"/>
      <c r="N844" s="2" t="n"/>
      <c r="O844" s="2" t="n"/>
      <c r="P844" s="2" t="n"/>
      <c r="Q844" s="4">
        <f>IF(OR(A844="",E844=""),"",IF(MAXIFS($E$2:$E$1001,$A$2:$A$1001,A844,$E$2:$E$1001,"&lt;"&amp;E844)=0,"",SUMIFS($G$2:$G$1001,$A$2:$A$1001,A844,$E$2:$E$1001,MAXIFS($E$2:$E$1001,$A$2:$A$1001,A844,$E$2:$E$1001,"&lt;"&amp;E844))))</f>
        <v/>
      </c>
      <c r="R844" s="9">
        <f>IF(OR(Q844="",G844=""),"",G844-Q844)</f>
        <v/>
      </c>
      <c r="S844" s="9">
        <f>IF(R844="","",SUMIFS($R$2:$R$1001,$A$2:$A$1001,A844,$E$2:$E$1001,"&lt;="&amp;E844))</f>
        <v/>
      </c>
      <c r="T844" s="5">
        <f>IF(A844="","",IF(R844="","initial",IF(ABS(R844)&lt;=ShiftThresholdDays,"unchanged",IF(R844&gt;0,"delayed","accelerated"))))</f>
        <v/>
      </c>
    </row>
    <row r="845">
      <c r="A845" s="2" t="n"/>
      <c r="B845" s="2" t="n"/>
      <c r="C845" s="2" t="n"/>
      <c r="D845" s="2" t="n"/>
      <c r="E845" s="2" t="n"/>
      <c r="F845" s="2" t="n"/>
      <c r="G845" s="3" t="n"/>
      <c r="H845" s="2" t="n"/>
      <c r="I845" s="3" t="n"/>
      <c r="J845" s="2" t="n"/>
      <c r="K845" s="2" t="n"/>
      <c r="L845" s="2" t="n"/>
      <c r="M845" s="2" t="n"/>
      <c r="N845" s="2" t="n"/>
      <c r="O845" s="2" t="n"/>
      <c r="P845" s="2" t="n"/>
      <c r="Q845" s="4">
        <f>IF(OR(A845="",E845=""),"",IF(MAXIFS($E$2:$E$1001,$A$2:$A$1001,A845,$E$2:$E$1001,"&lt;"&amp;E845)=0,"",SUMIFS($G$2:$G$1001,$A$2:$A$1001,A845,$E$2:$E$1001,MAXIFS($E$2:$E$1001,$A$2:$A$1001,A845,$E$2:$E$1001,"&lt;"&amp;E845))))</f>
        <v/>
      </c>
      <c r="R845" s="9">
        <f>IF(OR(Q845="",G845=""),"",G845-Q845)</f>
        <v/>
      </c>
      <c r="S845" s="9">
        <f>IF(R845="","",SUMIFS($R$2:$R$1001,$A$2:$A$1001,A845,$E$2:$E$1001,"&lt;="&amp;E845))</f>
        <v/>
      </c>
      <c r="T845" s="5">
        <f>IF(A845="","",IF(R845="","initial",IF(ABS(R845)&lt;=ShiftThresholdDays,"unchanged",IF(R845&gt;0,"delayed","accelerated"))))</f>
        <v/>
      </c>
    </row>
    <row r="846">
      <c r="A846" s="2" t="n"/>
      <c r="B846" s="2" t="n"/>
      <c r="C846" s="2" t="n"/>
      <c r="D846" s="2" t="n"/>
      <c r="E846" s="2" t="n"/>
      <c r="F846" s="2" t="n"/>
      <c r="G846" s="3" t="n"/>
      <c r="H846" s="2" t="n"/>
      <c r="I846" s="3" t="n"/>
      <c r="J846" s="2" t="n"/>
      <c r="K846" s="2" t="n"/>
      <c r="L846" s="2" t="n"/>
      <c r="M846" s="2" t="n"/>
      <c r="N846" s="2" t="n"/>
      <c r="O846" s="2" t="n"/>
      <c r="P846" s="2" t="n"/>
      <c r="Q846" s="4">
        <f>IF(OR(A846="",E846=""),"",IF(MAXIFS($E$2:$E$1001,$A$2:$A$1001,A846,$E$2:$E$1001,"&lt;"&amp;E846)=0,"",SUMIFS($G$2:$G$1001,$A$2:$A$1001,A846,$E$2:$E$1001,MAXIFS($E$2:$E$1001,$A$2:$A$1001,A846,$E$2:$E$1001,"&lt;"&amp;E846))))</f>
        <v/>
      </c>
      <c r="R846" s="9">
        <f>IF(OR(Q846="",G846=""),"",G846-Q846)</f>
        <v/>
      </c>
      <c r="S846" s="9">
        <f>IF(R846="","",SUMIFS($R$2:$R$1001,$A$2:$A$1001,A846,$E$2:$E$1001,"&lt;="&amp;E846))</f>
        <v/>
      </c>
      <c r="T846" s="5">
        <f>IF(A846="","",IF(R846="","initial",IF(ABS(R846)&lt;=ShiftThresholdDays,"unchanged",IF(R846&gt;0,"delayed","accelerated"))))</f>
        <v/>
      </c>
    </row>
    <row r="847">
      <c r="A847" s="2" t="n"/>
      <c r="B847" s="2" t="n"/>
      <c r="C847" s="2" t="n"/>
      <c r="D847" s="2" t="n"/>
      <c r="E847" s="2" t="n"/>
      <c r="F847" s="2" t="n"/>
      <c r="G847" s="3" t="n"/>
      <c r="H847" s="2" t="n"/>
      <c r="I847" s="3" t="n"/>
      <c r="J847" s="2" t="n"/>
      <c r="K847" s="2" t="n"/>
      <c r="L847" s="2" t="n"/>
      <c r="M847" s="2" t="n"/>
      <c r="N847" s="2" t="n"/>
      <c r="O847" s="2" t="n"/>
      <c r="P847" s="2" t="n"/>
      <c r="Q847" s="4">
        <f>IF(OR(A847="",E847=""),"",IF(MAXIFS($E$2:$E$1001,$A$2:$A$1001,A847,$E$2:$E$1001,"&lt;"&amp;E847)=0,"",SUMIFS($G$2:$G$1001,$A$2:$A$1001,A847,$E$2:$E$1001,MAXIFS($E$2:$E$1001,$A$2:$A$1001,A847,$E$2:$E$1001,"&lt;"&amp;E847))))</f>
        <v/>
      </c>
      <c r="R847" s="9">
        <f>IF(OR(Q847="",G847=""),"",G847-Q847)</f>
        <v/>
      </c>
      <c r="S847" s="9">
        <f>IF(R847="","",SUMIFS($R$2:$R$1001,$A$2:$A$1001,A847,$E$2:$E$1001,"&lt;="&amp;E847))</f>
        <v/>
      </c>
      <c r="T847" s="5">
        <f>IF(A847="","",IF(R847="","initial",IF(ABS(R847)&lt;=ShiftThresholdDays,"unchanged",IF(R847&gt;0,"delayed","accelerated"))))</f>
        <v/>
      </c>
    </row>
    <row r="848">
      <c r="A848" s="2" t="n"/>
      <c r="B848" s="2" t="n"/>
      <c r="C848" s="2" t="n"/>
      <c r="D848" s="2" t="n"/>
      <c r="E848" s="2" t="n"/>
      <c r="F848" s="2" t="n"/>
      <c r="G848" s="3" t="n"/>
      <c r="H848" s="2" t="n"/>
      <c r="I848" s="3" t="n"/>
      <c r="J848" s="2" t="n"/>
      <c r="K848" s="2" t="n"/>
      <c r="L848" s="2" t="n"/>
      <c r="M848" s="2" t="n"/>
      <c r="N848" s="2" t="n"/>
      <c r="O848" s="2" t="n"/>
      <c r="P848" s="2" t="n"/>
      <c r="Q848" s="4">
        <f>IF(OR(A848="",E848=""),"",IF(MAXIFS($E$2:$E$1001,$A$2:$A$1001,A848,$E$2:$E$1001,"&lt;"&amp;E848)=0,"",SUMIFS($G$2:$G$1001,$A$2:$A$1001,A848,$E$2:$E$1001,MAXIFS($E$2:$E$1001,$A$2:$A$1001,A848,$E$2:$E$1001,"&lt;"&amp;E848))))</f>
        <v/>
      </c>
      <c r="R848" s="9">
        <f>IF(OR(Q848="",G848=""),"",G848-Q848)</f>
        <v/>
      </c>
      <c r="S848" s="9">
        <f>IF(R848="","",SUMIFS($R$2:$R$1001,$A$2:$A$1001,A848,$E$2:$E$1001,"&lt;="&amp;E848))</f>
        <v/>
      </c>
      <c r="T848" s="5">
        <f>IF(A848="","",IF(R848="","initial",IF(ABS(R848)&lt;=ShiftThresholdDays,"unchanged",IF(R848&gt;0,"delayed","accelerated"))))</f>
        <v/>
      </c>
    </row>
    <row r="849">
      <c r="A849" s="2" t="n"/>
      <c r="B849" s="2" t="n"/>
      <c r="C849" s="2" t="n"/>
      <c r="D849" s="2" t="n"/>
      <c r="E849" s="2" t="n"/>
      <c r="F849" s="2" t="n"/>
      <c r="G849" s="3" t="n"/>
      <c r="H849" s="2" t="n"/>
      <c r="I849" s="3" t="n"/>
      <c r="J849" s="2" t="n"/>
      <c r="K849" s="2" t="n"/>
      <c r="L849" s="2" t="n"/>
      <c r="M849" s="2" t="n"/>
      <c r="N849" s="2" t="n"/>
      <c r="O849" s="2" t="n"/>
      <c r="P849" s="2" t="n"/>
      <c r="Q849" s="4">
        <f>IF(OR(A849="",E849=""),"",IF(MAXIFS($E$2:$E$1001,$A$2:$A$1001,A849,$E$2:$E$1001,"&lt;"&amp;E849)=0,"",SUMIFS($G$2:$G$1001,$A$2:$A$1001,A849,$E$2:$E$1001,MAXIFS($E$2:$E$1001,$A$2:$A$1001,A849,$E$2:$E$1001,"&lt;"&amp;E849))))</f>
        <v/>
      </c>
      <c r="R849" s="9">
        <f>IF(OR(Q849="",G849=""),"",G849-Q849)</f>
        <v/>
      </c>
      <c r="S849" s="9">
        <f>IF(R849="","",SUMIFS($R$2:$R$1001,$A$2:$A$1001,A849,$E$2:$E$1001,"&lt;="&amp;E849))</f>
        <v/>
      </c>
      <c r="T849" s="5">
        <f>IF(A849="","",IF(R849="","initial",IF(ABS(R849)&lt;=ShiftThresholdDays,"unchanged",IF(R849&gt;0,"delayed","accelerated"))))</f>
        <v/>
      </c>
    </row>
    <row r="850">
      <c r="A850" s="2" t="n"/>
      <c r="B850" s="2" t="n"/>
      <c r="C850" s="2" t="n"/>
      <c r="D850" s="2" t="n"/>
      <c r="E850" s="2" t="n"/>
      <c r="F850" s="2" t="n"/>
      <c r="G850" s="3" t="n"/>
      <c r="H850" s="2" t="n"/>
      <c r="I850" s="3" t="n"/>
      <c r="J850" s="2" t="n"/>
      <c r="K850" s="2" t="n"/>
      <c r="L850" s="2" t="n"/>
      <c r="M850" s="2" t="n"/>
      <c r="N850" s="2" t="n"/>
      <c r="O850" s="2" t="n"/>
      <c r="P850" s="2" t="n"/>
      <c r="Q850" s="4">
        <f>IF(OR(A850="",E850=""),"",IF(MAXIFS($E$2:$E$1001,$A$2:$A$1001,A850,$E$2:$E$1001,"&lt;"&amp;E850)=0,"",SUMIFS($G$2:$G$1001,$A$2:$A$1001,A850,$E$2:$E$1001,MAXIFS($E$2:$E$1001,$A$2:$A$1001,A850,$E$2:$E$1001,"&lt;"&amp;E850))))</f>
        <v/>
      </c>
      <c r="R850" s="9">
        <f>IF(OR(Q850="",G850=""),"",G850-Q850)</f>
        <v/>
      </c>
      <c r="S850" s="9">
        <f>IF(R850="","",SUMIFS($R$2:$R$1001,$A$2:$A$1001,A850,$E$2:$E$1001,"&lt;="&amp;E850))</f>
        <v/>
      </c>
      <c r="T850" s="5">
        <f>IF(A850="","",IF(R850="","initial",IF(ABS(R850)&lt;=ShiftThresholdDays,"unchanged",IF(R850&gt;0,"delayed","accelerated"))))</f>
        <v/>
      </c>
    </row>
    <row r="851">
      <c r="A851" s="2" t="n"/>
      <c r="B851" s="2" t="n"/>
      <c r="C851" s="2" t="n"/>
      <c r="D851" s="2" t="n"/>
      <c r="E851" s="2" t="n"/>
      <c r="F851" s="2" t="n"/>
      <c r="G851" s="3" t="n"/>
      <c r="H851" s="2" t="n"/>
      <c r="I851" s="3" t="n"/>
      <c r="J851" s="2" t="n"/>
      <c r="K851" s="2" t="n"/>
      <c r="L851" s="2" t="n"/>
      <c r="M851" s="2" t="n"/>
      <c r="N851" s="2" t="n"/>
      <c r="O851" s="2" t="n"/>
      <c r="P851" s="2" t="n"/>
      <c r="Q851" s="4">
        <f>IF(OR(A851="",E851=""),"",IF(MAXIFS($E$2:$E$1001,$A$2:$A$1001,A851,$E$2:$E$1001,"&lt;"&amp;E851)=0,"",SUMIFS($G$2:$G$1001,$A$2:$A$1001,A851,$E$2:$E$1001,MAXIFS($E$2:$E$1001,$A$2:$A$1001,A851,$E$2:$E$1001,"&lt;"&amp;E851))))</f>
        <v/>
      </c>
      <c r="R851" s="9">
        <f>IF(OR(Q851="",G851=""),"",G851-Q851)</f>
        <v/>
      </c>
      <c r="S851" s="9">
        <f>IF(R851="","",SUMIFS($R$2:$R$1001,$A$2:$A$1001,A851,$E$2:$E$1001,"&lt;="&amp;E851))</f>
        <v/>
      </c>
      <c r="T851" s="5">
        <f>IF(A851="","",IF(R851="","initial",IF(ABS(R851)&lt;=ShiftThresholdDays,"unchanged",IF(R851&gt;0,"delayed","accelerated"))))</f>
        <v/>
      </c>
    </row>
    <row r="852">
      <c r="A852" s="2" t="n"/>
      <c r="B852" s="2" t="n"/>
      <c r="C852" s="2" t="n"/>
      <c r="D852" s="2" t="n"/>
      <c r="E852" s="2" t="n"/>
      <c r="F852" s="2" t="n"/>
      <c r="G852" s="3" t="n"/>
      <c r="H852" s="2" t="n"/>
      <c r="I852" s="3" t="n"/>
      <c r="J852" s="2" t="n"/>
      <c r="K852" s="2" t="n"/>
      <c r="L852" s="2" t="n"/>
      <c r="M852" s="2" t="n"/>
      <c r="N852" s="2" t="n"/>
      <c r="O852" s="2" t="n"/>
      <c r="P852" s="2" t="n"/>
      <c r="Q852" s="4">
        <f>IF(OR(A852="",E852=""),"",IF(MAXIFS($E$2:$E$1001,$A$2:$A$1001,A852,$E$2:$E$1001,"&lt;"&amp;E852)=0,"",SUMIFS($G$2:$G$1001,$A$2:$A$1001,A852,$E$2:$E$1001,MAXIFS($E$2:$E$1001,$A$2:$A$1001,A852,$E$2:$E$1001,"&lt;"&amp;E852))))</f>
        <v/>
      </c>
      <c r="R852" s="9">
        <f>IF(OR(Q852="",G852=""),"",G852-Q852)</f>
        <v/>
      </c>
      <c r="S852" s="9">
        <f>IF(R852="","",SUMIFS($R$2:$R$1001,$A$2:$A$1001,A852,$E$2:$E$1001,"&lt;="&amp;E852))</f>
        <v/>
      </c>
      <c r="T852" s="5">
        <f>IF(A852="","",IF(R852="","initial",IF(ABS(R852)&lt;=ShiftThresholdDays,"unchanged",IF(R852&gt;0,"delayed","accelerated"))))</f>
        <v/>
      </c>
    </row>
    <row r="853">
      <c r="A853" s="2" t="n"/>
      <c r="B853" s="2" t="n"/>
      <c r="C853" s="2" t="n"/>
      <c r="D853" s="2" t="n"/>
      <c r="E853" s="2" t="n"/>
      <c r="F853" s="2" t="n"/>
      <c r="G853" s="3" t="n"/>
      <c r="H853" s="2" t="n"/>
      <c r="I853" s="3" t="n"/>
      <c r="J853" s="2" t="n"/>
      <c r="K853" s="2" t="n"/>
      <c r="L853" s="2" t="n"/>
      <c r="M853" s="2" t="n"/>
      <c r="N853" s="2" t="n"/>
      <c r="O853" s="2" t="n"/>
      <c r="P853" s="2" t="n"/>
      <c r="Q853" s="4">
        <f>IF(OR(A853="",E853=""),"",IF(MAXIFS($E$2:$E$1001,$A$2:$A$1001,A853,$E$2:$E$1001,"&lt;"&amp;E853)=0,"",SUMIFS($G$2:$G$1001,$A$2:$A$1001,A853,$E$2:$E$1001,MAXIFS($E$2:$E$1001,$A$2:$A$1001,A853,$E$2:$E$1001,"&lt;"&amp;E853))))</f>
        <v/>
      </c>
      <c r="R853" s="9">
        <f>IF(OR(Q853="",G853=""),"",G853-Q853)</f>
        <v/>
      </c>
      <c r="S853" s="9">
        <f>IF(R853="","",SUMIFS($R$2:$R$1001,$A$2:$A$1001,A853,$E$2:$E$1001,"&lt;="&amp;E853))</f>
        <v/>
      </c>
      <c r="T853" s="5">
        <f>IF(A853="","",IF(R853="","initial",IF(ABS(R853)&lt;=ShiftThresholdDays,"unchanged",IF(R853&gt;0,"delayed","accelerated"))))</f>
        <v/>
      </c>
    </row>
    <row r="854">
      <c r="A854" s="2" t="n"/>
      <c r="B854" s="2" t="n"/>
      <c r="C854" s="2" t="n"/>
      <c r="D854" s="2" t="n"/>
      <c r="E854" s="2" t="n"/>
      <c r="F854" s="2" t="n"/>
      <c r="G854" s="3" t="n"/>
      <c r="H854" s="2" t="n"/>
      <c r="I854" s="3" t="n"/>
      <c r="J854" s="2" t="n"/>
      <c r="K854" s="2" t="n"/>
      <c r="L854" s="2" t="n"/>
      <c r="M854" s="2" t="n"/>
      <c r="N854" s="2" t="n"/>
      <c r="O854" s="2" t="n"/>
      <c r="P854" s="2" t="n"/>
      <c r="Q854" s="4">
        <f>IF(OR(A854="",E854=""),"",IF(MAXIFS($E$2:$E$1001,$A$2:$A$1001,A854,$E$2:$E$1001,"&lt;"&amp;E854)=0,"",SUMIFS($G$2:$G$1001,$A$2:$A$1001,A854,$E$2:$E$1001,MAXIFS($E$2:$E$1001,$A$2:$A$1001,A854,$E$2:$E$1001,"&lt;"&amp;E854))))</f>
        <v/>
      </c>
      <c r="R854" s="9">
        <f>IF(OR(Q854="",G854=""),"",G854-Q854)</f>
        <v/>
      </c>
      <c r="S854" s="9">
        <f>IF(R854="","",SUMIFS($R$2:$R$1001,$A$2:$A$1001,A854,$E$2:$E$1001,"&lt;="&amp;E854))</f>
        <v/>
      </c>
      <c r="T854" s="5">
        <f>IF(A854="","",IF(R854="","initial",IF(ABS(R854)&lt;=ShiftThresholdDays,"unchanged",IF(R854&gt;0,"delayed","accelerated"))))</f>
        <v/>
      </c>
    </row>
    <row r="855">
      <c r="A855" s="2" t="n"/>
      <c r="B855" s="2" t="n"/>
      <c r="C855" s="2" t="n"/>
      <c r="D855" s="2" t="n"/>
      <c r="E855" s="2" t="n"/>
      <c r="F855" s="2" t="n"/>
      <c r="G855" s="3" t="n"/>
      <c r="H855" s="2" t="n"/>
      <c r="I855" s="3" t="n"/>
      <c r="J855" s="2" t="n"/>
      <c r="K855" s="2" t="n"/>
      <c r="L855" s="2" t="n"/>
      <c r="M855" s="2" t="n"/>
      <c r="N855" s="2" t="n"/>
      <c r="O855" s="2" t="n"/>
      <c r="P855" s="2" t="n"/>
      <c r="Q855" s="4">
        <f>IF(OR(A855="",E855=""),"",IF(MAXIFS($E$2:$E$1001,$A$2:$A$1001,A855,$E$2:$E$1001,"&lt;"&amp;E855)=0,"",SUMIFS($G$2:$G$1001,$A$2:$A$1001,A855,$E$2:$E$1001,MAXIFS($E$2:$E$1001,$A$2:$A$1001,A855,$E$2:$E$1001,"&lt;"&amp;E855))))</f>
        <v/>
      </c>
      <c r="R855" s="9">
        <f>IF(OR(Q855="",G855=""),"",G855-Q855)</f>
        <v/>
      </c>
      <c r="S855" s="9">
        <f>IF(R855="","",SUMIFS($R$2:$R$1001,$A$2:$A$1001,A855,$E$2:$E$1001,"&lt;="&amp;E855))</f>
        <v/>
      </c>
      <c r="T855" s="5">
        <f>IF(A855="","",IF(R855="","initial",IF(ABS(R855)&lt;=ShiftThresholdDays,"unchanged",IF(R855&gt;0,"delayed","accelerated"))))</f>
        <v/>
      </c>
    </row>
    <row r="856">
      <c r="A856" s="2" t="n"/>
      <c r="B856" s="2" t="n"/>
      <c r="C856" s="2" t="n"/>
      <c r="D856" s="2" t="n"/>
      <c r="E856" s="2" t="n"/>
      <c r="F856" s="2" t="n"/>
      <c r="G856" s="3" t="n"/>
      <c r="H856" s="2" t="n"/>
      <c r="I856" s="3" t="n"/>
      <c r="J856" s="2" t="n"/>
      <c r="K856" s="2" t="n"/>
      <c r="L856" s="2" t="n"/>
      <c r="M856" s="2" t="n"/>
      <c r="N856" s="2" t="n"/>
      <c r="O856" s="2" t="n"/>
      <c r="P856" s="2" t="n"/>
      <c r="Q856" s="4">
        <f>IF(OR(A856="",E856=""),"",IF(MAXIFS($E$2:$E$1001,$A$2:$A$1001,A856,$E$2:$E$1001,"&lt;"&amp;E856)=0,"",SUMIFS($G$2:$G$1001,$A$2:$A$1001,A856,$E$2:$E$1001,MAXIFS($E$2:$E$1001,$A$2:$A$1001,A856,$E$2:$E$1001,"&lt;"&amp;E856))))</f>
        <v/>
      </c>
      <c r="R856" s="9">
        <f>IF(OR(Q856="",G856=""),"",G856-Q856)</f>
        <v/>
      </c>
      <c r="S856" s="9">
        <f>IF(R856="","",SUMIFS($R$2:$R$1001,$A$2:$A$1001,A856,$E$2:$E$1001,"&lt;="&amp;E856))</f>
        <v/>
      </c>
      <c r="T856" s="5">
        <f>IF(A856="","",IF(R856="","initial",IF(ABS(R856)&lt;=ShiftThresholdDays,"unchanged",IF(R856&gt;0,"delayed","accelerated"))))</f>
        <v/>
      </c>
    </row>
    <row r="857">
      <c r="A857" s="2" t="n"/>
      <c r="B857" s="2" t="n"/>
      <c r="C857" s="2" t="n"/>
      <c r="D857" s="2" t="n"/>
      <c r="E857" s="2" t="n"/>
      <c r="F857" s="2" t="n"/>
      <c r="G857" s="3" t="n"/>
      <c r="H857" s="2" t="n"/>
      <c r="I857" s="3" t="n"/>
      <c r="J857" s="2" t="n"/>
      <c r="K857" s="2" t="n"/>
      <c r="L857" s="2" t="n"/>
      <c r="M857" s="2" t="n"/>
      <c r="N857" s="2" t="n"/>
      <c r="O857" s="2" t="n"/>
      <c r="P857" s="2" t="n"/>
      <c r="Q857" s="4">
        <f>IF(OR(A857="",E857=""),"",IF(MAXIFS($E$2:$E$1001,$A$2:$A$1001,A857,$E$2:$E$1001,"&lt;"&amp;E857)=0,"",SUMIFS($G$2:$G$1001,$A$2:$A$1001,A857,$E$2:$E$1001,MAXIFS($E$2:$E$1001,$A$2:$A$1001,A857,$E$2:$E$1001,"&lt;"&amp;E857))))</f>
        <v/>
      </c>
      <c r="R857" s="9">
        <f>IF(OR(Q857="",G857=""),"",G857-Q857)</f>
        <v/>
      </c>
      <c r="S857" s="9">
        <f>IF(R857="","",SUMIFS($R$2:$R$1001,$A$2:$A$1001,A857,$E$2:$E$1001,"&lt;="&amp;E857))</f>
        <v/>
      </c>
      <c r="T857" s="5">
        <f>IF(A857="","",IF(R857="","initial",IF(ABS(R857)&lt;=ShiftThresholdDays,"unchanged",IF(R857&gt;0,"delayed","accelerated"))))</f>
        <v/>
      </c>
    </row>
    <row r="858">
      <c r="A858" s="2" t="n"/>
      <c r="B858" s="2" t="n"/>
      <c r="C858" s="2" t="n"/>
      <c r="D858" s="2" t="n"/>
      <c r="E858" s="2" t="n"/>
      <c r="F858" s="2" t="n"/>
      <c r="G858" s="3" t="n"/>
      <c r="H858" s="2" t="n"/>
      <c r="I858" s="3" t="n"/>
      <c r="J858" s="2" t="n"/>
      <c r="K858" s="2" t="n"/>
      <c r="L858" s="2" t="n"/>
      <c r="M858" s="2" t="n"/>
      <c r="N858" s="2" t="n"/>
      <c r="O858" s="2" t="n"/>
      <c r="P858" s="2" t="n"/>
      <c r="Q858" s="4">
        <f>IF(OR(A858="",E858=""),"",IF(MAXIFS($E$2:$E$1001,$A$2:$A$1001,A858,$E$2:$E$1001,"&lt;"&amp;E858)=0,"",SUMIFS($G$2:$G$1001,$A$2:$A$1001,A858,$E$2:$E$1001,MAXIFS($E$2:$E$1001,$A$2:$A$1001,A858,$E$2:$E$1001,"&lt;"&amp;E858))))</f>
        <v/>
      </c>
      <c r="R858" s="9">
        <f>IF(OR(Q858="",G858=""),"",G858-Q858)</f>
        <v/>
      </c>
      <c r="S858" s="9">
        <f>IF(R858="","",SUMIFS($R$2:$R$1001,$A$2:$A$1001,A858,$E$2:$E$1001,"&lt;="&amp;E858))</f>
        <v/>
      </c>
      <c r="T858" s="5">
        <f>IF(A858="","",IF(R858="","initial",IF(ABS(R858)&lt;=ShiftThresholdDays,"unchanged",IF(R858&gt;0,"delayed","accelerated"))))</f>
        <v/>
      </c>
    </row>
    <row r="859">
      <c r="A859" s="2" t="n"/>
      <c r="B859" s="2" t="n"/>
      <c r="C859" s="2" t="n"/>
      <c r="D859" s="2" t="n"/>
      <c r="E859" s="2" t="n"/>
      <c r="F859" s="2" t="n"/>
      <c r="G859" s="3" t="n"/>
      <c r="H859" s="2" t="n"/>
      <c r="I859" s="3" t="n"/>
      <c r="J859" s="2" t="n"/>
      <c r="K859" s="2" t="n"/>
      <c r="L859" s="2" t="n"/>
      <c r="M859" s="2" t="n"/>
      <c r="N859" s="2" t="n"/>
      <c r="O859" s="2" t="n"/>
      <c r="P859" s="2" t="n"/>
      <c r="Q859" s="4">
        <f>IF(OR(A859="",E859=""),"",IF(MAXIFS($E$2:$E$1001,$A$2:$A$1001,A859,$E$2:$E$1001,"&lt;"&amp;E859)=0,"",SUMIFS($G$2:$G$1001,$A$2:$A$1001,A859,$E$2:$E$1001,MAXIFS($E$2:$E$1001,$A$2:$A$1001,A859,$E$2:$E$1001,"&lt;"&amp;E859))))</f>
        <v/>
      </c>
      <c r="R859" s="9">
        <f>IF(OR(Q859="",G859=""),"",G859-Q859)</f>
        <v/>
      </c>
      <c r="S859" s="9">
        <f>IF(R859="","",SUMIFS($R$2:$R$1001,$A$2:$A$1001,A859,$E$2:$E$1001,"&lt;="&amp;E859))</f>
        <v/>
      </c>
      <c r="T859" s="5">
        <f>IF(A859="","",IF(R859="","initial",IF(ABS(R859)&lt;=ShiftThresholdDays,"unchanged",IF(R859&gt;0,"delayed","accelerated"))))</f>
        <v/>
      </c>
    </row>
    <row r="860">
      <c r="A860" s="2" t="n"/>
      <c r="B860" s="2" t="n"/>
      <c r="C860" s="2" t="n"/>
      <c r="D860" s="2" t="n"/>
      <c r="E860" s="2" t="n"/>
      <c r="F860" s="2" t="n"/>
      <c r="G860" s="3" t="n"/>
      <c r="H860" s="2" t="n"/>
      <c r="I860" s="3" t="n"/>
      <c r="J860" s="2" t="n"/>
      <c r="K860" s="2" t="n"/>
      <c r="L860" s="2" t="n"/>
      <c r="M860" s="2" t="n"/>
      <c r="N860" s="2" t="n"/>
      <c r="O860" s="2" t="n"/>
      <c r="P860" s="2" t="n"/>
      <c r="Q860" s="4">
        <f>IF(OR(A860="",E860=""),"",IF(MAXIFS($E$2:$E$1001,$A$2:$A$1001,A860,$E$2:$E$1001,"&lt;"&amp;E860)=0,"",SUMIFS($G$2:$G$1001,$A$2:$A$1001,A860,$E$2:$E$1001,MAXIFS($E$2:$E$1001,$A$2:$A$1001,A860,$E$2:$E$1001,"&lt;"&amp;E860))))</f>
        <v/>
      </c>
      <c r="R860" s="9">
        <f>IF(OR(Q860="",G860=""),"",G860-Q860)</f>
        <v/>
      </c>
      <c r="S860" s="9">
        <f>IF(R860="","",SUMIFS($R$2:$R$1001,$A$2:$A$1001,A860,$E$2:$E$1001,"&lt;="&amp;E860))</f>
        <v/>
      </c>
      <c r="T860" s="5">
        <f>IF(A860="","",IF(R860="","initial",IF(ABS(R860)&lt;=ShiftThresholdDays,"unchanged",IF(R860&gt;0,"delayed","accelerated"))))</f>
        <v/>
      </c>
    </row>
    <row r="861">
      <c r="A861" s="2" t="n"/>
      <c r="B861" s="2" t="n"/>
      <c r="C861" s="2" t="n"/>
      <c r="D861" s="2" t="n"/>
      <c r="E861" s="2" t="n"/>
      <c r="F861" s="2" t="n"/>
      <c r="G861" s="3" t="n"/>
      <c r="H861" s="2" t="n"/>
      <c r="I861" s="3" t="n"/>
      <c r="J861" s="2" t="n"/>
      <c r="K861" s="2" t="n"/>
      <c r="L861" s="2" t="n"/>
      <c r="M861" s="2" t="n"/>
      <c r="N861" s="2" t="n"/>
      <c r="O861" s="2" t="n"/>
      <c r="P861" s="2" t="n"/>
      <c r="Q861" s="4">
        <f>IF(OR(A861="",E861=""),"",IF(MAXIFS($E$2:$E$1001,$A$2:$A$1001,A861,$E$2:$E$1001,"&lt;"&amp;E861)=0,"",SUMIFS($G$2:$G$1001,$A$2:$A$1001,A861,$E$2:$E$1001,MAXIFS($E$2:$E$1001,$A$2:$A$1001,A861,$E$2:$E$1001,"&lt;"&amp;E861))))</f>
        <v/>
      </c>
      <c r="R861" s="9">
        <f>IF(OR(Q861="",G861=""),"",G861-Q861)</f>
        <v/>
      </c>
      <c r="S861" s="9">
        <f>IF(R861="","",SUMIFS($R$2:$R$1001,$A$2:$A$1001,A861,$E$2:$E$1001,"&lt;="&amp;E861))</f>
        <v/>
      </c>
      <c r="T861" s="5">
        <f>IF(A861="","",IF(R861="","initial",IF(ABS(R861)&lt;=ShiftThresholdDays,"unchanged",IF(R861&gt;0,"delayed","accelerated"))))</f>
        <v/>
      </c>
    </row>
    <row r="862">
      <c r="A862" s="2" t="n"/>
      <c r="B862" s="2" t="n"/>
      <c r="C862" s="2" t="n"/>
      <c r="D862" s="2" t="n"/>
      <c r="E862" s="2" t="n"/>
      <c r="F862" s="2" t="n"/>
      <c r="G862" s="3" t="n"/>
      <c r="H862" s="2" t="n"/>
      <c r="I862" s="3" t="n"/>
      <c r="J862" s="2" t="n"/>
      <c r="K862" s="2" t="n"/>
      <c r="L862" s="2" t="n"/>
      <c r="M862" s="2" t="n"/>
      <c r="N862" s="2" t="n"/>
      <c r="O862" s="2" t="n"/>
      <c r="P862" s="2" t="n"/>
      <c r="Q862" s="4">
        <f>IF(OR(A862="",E862=""),"",IF(MAXIFS($E$2:$E$1001,$A$2:$A$1001,A862,$E$2:$E$1001,"&lt;"&amp;E862)=0,"",SUMIFS($G$2:$G$1001,$A$2:$A$1001,A862,$E$2:$E$1001,MAXIFS($E$2:$E$1001,$A$2:$A$1001,A862,$E$2:$E$1001,"&lt;"&amp;E862))))</f>
        <v/>
      </c>
      <c r="R862" s="9">
        <f>IF(OR(Q862="",G862=""),"",G862-Q862)</f>
        <v/>
      </c>
      <c r="S862" s="9">
        <f>IF(R862="","",SUMIFS($R$2:$R$1001,$A$2:$A$1001,A862,$E$2:$E$1001,"&lt;="&amp;E862))</f>
        <v/>
      </c>
      <c r="T862" s="5">
        <f>IF(A862="","",IF(R862="","initial",IF(ABS(R862)&lt;=ShiftThresholdDays,"unchanged",IF(R862&gt;0,"delayed","accelerated"))))</f>
        <v/>
      </c>
    </row>
    <row r="863">
      <c r="A863" s="2" t="n"/>
      <c r="B863" s="2" t="n"/>
      <c r="C863" s="2" t="n"/>
      <c r="D863" s="2" t="n"/>
      <c r="E863" s="2" t="n"/>
      <c r="F863" s="2" t="n"/>
      <c r="G863" s="3" t="n"/>
      <c r="H863" s="2" t="n"/>
      <c r="I863" s="3" t="n"/>
      <c r="J863" s="2" t="n"/>
      <c r="K863" s="2" t="n"/>
      <c r="L863" s="2" t="n"/>
      <c r="M863" s="2" t="n"/>
      <c r="N863" s="2" t="n"/>
      <c r="O863" s="2" t="n"/>
      <c r="P863" s="2" t="n"/>
      <c r="Q863" s="4">
        <f>IF(OR(A863="",E863=""),"",IF(MAXIFS($E$2:$E$1001,$A$2:$A$1001,A863,$E$2:$E$1001,"&lt;"&amp;E863)=0,"",SUMIFS($G$2:$G$1001,$A$2:$A$1001,A863,$E$2:$E$1001,MAXIFS($E$2:$E$1001,$A$2:$A$1001,A863,$E$2:$E$1001,"&lt;"&amp;E863))))</f>
        <v/>
      </c>
      <c r="R863" s="9">
        <f>IF(OR(Q863="",G863=""),"",G863-Q863)</f>
        <v/>
      </c>
      <c r="S863" s="9">
        <f>IF(R863="","",SUMIFS($R$2:$R$1001,$A$2:$A$1001,A863,$E$2:$E$1001,"&lt;="&amp;E863))</f>
        <v/>
      </c>
      <c r="T863" s="5">
        <f>IF(A863="","",IF(R863="","initial",IF(ABS(R863)&lt;=ShiftThresholdDays,"unchanged",IF(R863&gt;0,"delayed","accelerated"))))</f>
        <v/>
      </c>
    </row>
    <row r="864">
      <c r="A864" s="2" t="n"/>
      <c r="B864" s="2" t="n"/>
      <c r="C864" s="2" t="n"/>
      <c r="D864" s="2" t="n"/>
      <c r="E864" s="2" t="n"/>
      <c r="F864" s="2" t="n"/>
      <c r="G864" s="3" t="n"/>
      <c r="H864" s="2" t="n"/>
      <c r="I864" s="3" t="n"/>
      <c r="J864" s="2" t="n"/>
      <c r="K864" s="2" t="n"/>
      <c r="L864" s="2" t="n"/>
      <c r="M864" s="2" t="n"/>
      <c r="N864" s="2" t="n"/>
      <c r="O864" s="2" t="n"/>
      <c r="P864" s="2" t="n"/>
      <c r="Q864" s="4">
        <f>IF(OR(A864="",E864=""),"",IF(MAXIFS($E$2:$E$1001,$A$2:$A$1001,A864,$E$2:$E$1001,"&lt;"&amp;E864)=0,"",SUMIFS($G$2:$G$1001,$A$2:$A$1001,A864,$E$2:$E$1001,MAXIFS($E$2:$E$1001,$A$2:$A$1001,A864,$E$2:$E$1001,"&lt;"&amp;E864))))</f>
        <v/>
      </c>
      <c r="R864" s="9">
        <f>IF(OR(Q864="",G864=""),"",G864-Q864)</f>
        <v/>
      </c>
      <c r="S864" s="9">
        <f>IF(R864="","",SUMIFS($R$2:$R$1001,$A$2:$A$1001,A864,$E$2:$E$1001,"&lt;="&amp;E864))</f>
        <v/>
      </c>
      <c r="T864" s="5">
        <f>IF(A864="","",IF(R864="","initial",IF(ABS(R864)&lt;=ShiftThresholdDays,"unchanged",IF(R864&gt;0,"delayed","accelerated"))))</f>
        <v/>
      </c>
    </row>
    <row r="865">
      <c r="A865" s="2" t="n"/>
      <c r="B865" s="2" t="n"/>
      <c r="C865" s="2" t="n"/>
      <c r="D865" s="2" t="n"/>
      <c r="E865" s="2" t="n"/>
      <c r="F865" s="2" t="n"/>
      <c r="G865" s="3" t="n"/>
      <c r="H865" s="2" t="n"/>
      <c r="I865" s="3" t="n"/>
      <c r="J865" s="2" t="n"/>
      <c r="K865" s="2" t="n"/>
      <c r="L865" s="2" t="n"/>
      <c r="M865" s="2" t="n"/>
      <c r="N865" s="2" t="n"/>
      <c r="O865" s="2" t="n"/>
      <c r="P865" s="2" t="n"/>
      <c r="Q865" s="4">
        <f>IF(OR(A865="",E865=""),"",IF(MAXIFS($E$2:$E$1001,$A$2:$A$1001,A865,$E$2:$E$1001,"&lt;"&amp;E865)=0,"",SUMIFS($G$2:$G$1001,$A$2:$A$1001,A865,$E$2:$E$1001,MAXIFS($E$2:$E$1001,$A$2:$A$1001,A865,$E$2:$E$1001,"&lt;"&amp;E865))))</f>
        <v/>
      </c>
      <c r="R865" s="9">
        <f>IF(OR(Q865="",G865=""),"",G865-Q865)</f>
        <v/>
      </c>
      <c r="S865" s="9">
        <f>IF(R865="","",SUMIFS($R$2:$R$1001,$A$2:$A$1001,A865,$E$2:$E$1001,"&lt;="&amp;E865))</f>
        <v/>
      </c>
      <c r="T865" s="5">
        <f>IF(A865="","",IF(R865="","initial",IF(ABS(R865)&lt;=ShiftThresholdDays,"unchanged",IF(R865&gt;0,"delayed","accelerated"))))</f>
        <v/>
      </c>
    </row>
    <row r="866">
      <c r="A866" s="2" t="n"/>
      <c r="B866" s="2" t="n"/>
      <c r="C866" s="2" t="n"/>
      <c r="D866" s="2" t="n"/>
      <c r="E866" s="2" t="n"/>
      <c r="F866" s="2" t="n"/>
      <c r="G866" s="3" t="n"/>
      <c r="H866" s="2" t="n"/>
      <c r="I866" s="3" t="n"/>
      <c r="J866" s="2" t="n"/>
      <c r="K866" s="2" t="n"/>
      <c r="L866" s="2" t="n"/>
      <c r="M866" s="2" t="n"/>
      <c r="N866" s="2" t="n"/>
      <c r="O866" s="2" t="n"/>
      <c r="P866" s="2" t="n"/>
      <c r="Q866" s="4">
        <f>IF(OR(A866="",E866=""),"",IF(MAXIFS($E$2:$E$1001,$A$2:$A$1001,A866,$E$2:$E$1001,"&lt;"&amp;E866)=0,"",SUMIFS($G$2:$G$1001,$A$2:$A$1001,A866,$E$2:$E$1001,MAXIFS($E$2:$E$1001,$A$2:$A$1001,A866,$E$2:$E$1001,"&lt;"&amp;E866))))</f>
        <v/>
      </c>
      <c r="R866" s="9">
        <f>IF(OR(Q866="",G866=""),"",G866-Q866)</f>
        <v/>
      </c>
      <c r="S866" s="9">
        <f>IF(R866="","",SUMIFS($R$2:$R$1001,$A$2:$A$1001,A866,$E$2:$E$1001,"&lt;="&amp;E866))</f>
        <v/>
      </c>
      <c r="T866" s="5">
        <f>IF(A866="","",IF(R866="","initial",IF(ABS(R866)&lt;=ShiftThresholdDays,"unchanged",IF(R866&gt;0,"delayed","accelerated"))))</f>
        <v/>
      </c>
    </row>
    <row r="867">
      <c r="A867" s="2" t="n"/>
      <c r="B867" s="2" t="n"/>
      <c r="C867" s="2" t="n"/>
      <c r="D867" s="2" t="n"/>
      <c r="E867" s="2" t="n"/>
      <c r="F867" s="2" t="n"/>
      <c r="G867" s="3" t="n"/>
      <c r="H867" s="2" t="n"/>
      <c r="I867" s="3" t="n"/>
      <c r="J867" s="2" t="n"/>
      <c r="K867" s="2" t="n"/>
      <c r="L867" s="2" t="n"/>
      <c r="M867" s="2" t="n"/>
      <c r="N867" s="2" t="n"/>
      <c r="O867" s="2" t="n"/>
      <c r="P867" s="2" t="n"/>
      <c r="Q867" s="4">
        <f>IF(OR(A867="",E867=""),"",IF(MAXIFS($E$2:$E$1001,$A$2:$A$1001,A867,$E$2:$E$1001,"&lt;"&amp;E867)=0,"",SUMIFS($G$2:$G$1001,$A$2:$A$1001,A867,$E$2:$E$1001,MAXIFS($E$2:$E$1001,$A$2:$A$1001,A867,$E$2:$E$1001,"&lt;"&amp;E867))))</f>
        <v/>
      </c>
      <c r="R867" s="9">
        <f>IF(OR(Q867="",G867=""),"",G867-Q867)</f>
        <v/>
      </c>
      <c r="S867" s="9">
        <f>IF(R867="","",SUMIFS($R$2:$R$1001,$A$2:$A$1001,A867,$E$2:$E$1001,"&lt;="&amp;E867))</f>
        <v/>
      </c>
      <c r="T867" s="5">
        <f>IF(A867="","",IF(R867="","initial",IF(ABS(R867)&lt;=ShiftThresholdDays,"unchanged",IF(R867&gt;0,"delayed","accelerated"))))</f>
        <v/>
      </c>
    </row>
    <row r="868">
      <c r="A868" s="2" t="n"/>
      <c r="B868" s="2" t="n"/>
      <c r="C868" s="2" t="n"/>
      <c r="D868" s="2" t="n"/>
      <c r="E868" s="2" t="n"/>
      <c r="F868" s="2" t="n"/>
      <c r="G868" s="3" t="n"/>
      <c r="H868" s="2" t="n"/>
      <c r="I868" s="3" t="n"/>
      <c r="J868" s="2" t="n"/>
      <c r="K868" s="2" t="n"/>
      <c r="L868" s="2" t="n"/>
      <c r="M868" s="2" t="n"/>
      <c r="N868" s="2" t="n"/>
      <c r="O868" s="2" t="n"/>
      <c r="P868" s="2" t="n"/>
      <c r="Q868" s="4">
        <f>IF(OR(A868="",E868=""),"",IF(MAXIFS($E$2:$E$1001,$A$2:$A$1001,A868,$E$2:$E$1001,"&lt;"&amp;E868)=0,"",SUMIFS($G$2:$G$1001,$A$2:$A$1001,A868,$E$2:$E$1001,MAXIFS($E$2:$E$1001,$A$2:$A$1001,A868,$E$2:$E$1001,"&lt;"&amp;E868))))</f>
        <v/>
      </c>
      <c r="R868" s="9">
        <f>IF(OR(Q868="",G868=""),"",G868-Q868)</f>
        <v/>
      </c>
      <c r="S868" s="9">
        <f>IF(R868="","",SUMIFS($R$2:$R$1001,$A$2:$A$1001,A868,$E$2:$E$1001,"&lt;="&amp;E868))</f>
        <v/>
      </c>
      <c r="T868" s="5">
        <f>IF(A868="","",IF(R868="","initial",IF(ABS(R868)&lt;=ShiftThresholdDays,"unchanged",IF(R868&gt;0,"delayed","accelerated"))))</f>
        <v/>
      </c>
    </row>
    <row r="869">
      <c r="A869" s="2" t="n"/>
      <c r="B869" s="2" t="n"/>
      <c r="C869" s="2" t="n"/>
      <c r="D869" s="2" t="n"/>
      <c r="E869" s="2" t="n"/>
      <c r="F869" s="2" t="n"/>
      <c r="G869" s="3" t="n"/>
      <c r="H869" s="2" t="n"/>
      <c r="I869" s="3" t="n"/>
      <c r="J869" s="2" t="n"/>
      <c r="K869" s="2" t="n"/>
      <c r="L869" s="2" t="n"/>
      <c r="M869" s="2" t="n"/>
      <c r="N869" s="2" t="n"/>
      <c r="O869" s="2" t="n"/>
      <c r="P869" s="2" t="n"/>
      <c r="Q869" s="4">
        <f>IF(OR(A869="",E869=""),"",IF(MAXIFS($E$2:$E$1001,$A$2:$A$1001,A869,$E$2:$E$1001,"&lt;"&amp;E869)=0,"",SUMIFS($G$2:$G$1001,$A$2:$A$1001,A869,$E$2:$E$1001,MAXIFS($E$2:$E$1001,$A$2:$A$1001,A869,$E$2:$E$1001,"&lt;"&amp;E869))))</f>
        <v/>
      </c>
      <c r="R869" s="9">
        <f>IF(OR(Q869="",G869=""),"",G869-Q869)</f>
        <v/>
      </c>
      <c r="S869" s="9">
        <f>IF(R869="","",SUMIFS($R$2:$R$1001,$A$2:$A$1001,A869,$E$2:$E$1001,"&lt;="&amp;E869))</f>
        <v/>
      </c>
      <c r="T869" s="5">
        <f>IF(A869="","",IF(R869="","initial",IF(ABS(R869)&lt;=ShiftThresholdDays,"unchanged",IF(R869&gt;0,"delayed","accelerated"))))</f>
        <v/>
      </c>
    </row>
    <row r="870">
      <c r="A870" s="2" t="n"/>
      <c r="B870" s="2" t="n"/>
      <c r="C870" s="2" t="n"/>
      <c r="D870" s="2" t="n"/>
      <c r="E870" s="2" t="n"/>
      <c r="F870" s="2" t="n"/>
      <c r="G870" s="3" t="n"/>
      <c r="H870" s="2" t="n"/>
      <c r="I870" s="3" t="n"/>
      <c r="J870" s="2" t="n"/>
      <c r="K870" s="2" t="n"/>
      <c r="L870" s="2" t="n"/>
      <c r="M870" s="2" t="n"/>
      <c r="N870" s="2" t="n"/>
      <c r="O870" s="2" t="n"/>
      <c r="P870" s="2" t="n"/>
      <c r="Q870" s="4">
        <f>IF(OR(A870="",E870=""),"",IF(MAXIFS($E$2:$E$1001,$A$2:$A$1001,A870,$E$2:$E$1001,"&lt;"&amp;E870)=0,"",SUMIFS($G$2:$G$1001,$A$2:$A$1001,A870,$E$2:$E$1001,MAXIFS($E$2:$E$1001,$A$2:$A$1001,A870,$E$2:$E$1001,"&lt;"&amp;E870))))</f>
        <v/>
      </c>
      <c r="R870" s="9">
        <f>IF(OR(Q870="",G870=""),"",G870-Q870)</f>
        <v/>
      </c>
      <c r="S870" s="9">
        <f>IF(R870="","",SUMIFS($R$2:$R$1001,$A$2:$A$1001,A870,$E$2:$E$1001,"&lt;="&amp;E870))</f>
        <v/>
      </c>
      <c r="T870" s="5">
        <f>IF(A870="","",IF(R870="","initial",IF(ABS(R870)&lt;=ShiftThresholdDays,"unchanged",IF(R870&gt;0,"delayed","accelerated"))))</f>
        <v/>
      </c>
    </row>
    <row r="871">
      <c r="A871" s="2" t="n"/>
      <c r="B871" s="2" t="n"/>
      <c r="C871" s="2" t="n"/>
      <c r="D871" s="2" t="n"/>
      <c r="E871" s="2" t="n"/>
      <c r="F871" s="2" t="n"/>
      <c r="G871" s="3" t="n"/>
      <c r="H871" s="2" t="n"/>
      <c r="I871" s="3" t="n"/>
      <c r="J871" s="2" t="n"/>
      <c r="K871" s="2" t="n"/>
      <c r="L871" s="2" t="n"/>
      <c r="M871" s="2" t="n"/>
      <c r="N871" s="2" t="n"/>
      <c r="O871" s="2" t="n"/>
      <c r="P871" s="2" t="n"/>
      <c r="Q871" s="4">
        <f>IF(OR(A871="",E871=""),"",IF(MAXIFS($E$2:$E$1001,$A$2:$A$1001,A871,$E$2:$E$1001,"&lt;"&amp;E871)=0,"",SUMIFS($G$2:$G$1001,$A$2:$A$1001,A871,$E$2:$E$1001,MAXIFS($E$2:$E$1001,$A$2:$A$1001,A871,$E$2:$E$1001,"&lt;"&amp;E871))))</f>
        <v/>
      </c>
      <c r="R871" s="9">
        <f>IF(OR(Q871="",G871=""),"",G871-Q871)</f>
        <v/>
      </c>
      <c r="S871" s="9">
        <f>IF(R871="","",SUMIFS($R$2:$R$1001,$A$2:$A$1001,A871,$E$2:$E$1001,"&lt;="&amp;E871))</f>
        <v/>
      </c>
      <c r="T871" s="5">
        <f>IF(A871="","",IF(R871="","initial",IF(ABS(R871)&lt;=ShiftThresholdDays,"unchanged",IF(R871&gt;0,"delayed","accelerated"))))</f>
        <v/>
      </c>
    </row>
    <row r="872">
      <c r="A872" s="2" t="n"/>
      <c r="B872" s="2" t="n"/>
      <c r="C872" s="2" t="n"/>
      <c r="D872" s="2" t="n"/>
      <c r="E872" s="2" t="n"/>
      <c r="F872" s="2" t="n"/>
      <c r="G872" s="3" t="n"/>
      <c r="H872" s="2" t="n"/>
      <c r="I872" s="3" t="n"/>
      <c r="J872" s="2" t="n"/>
      <c r="K872" s="2" t="n"/>
      <c r="L872" s="2" t="n"/>
      <c r="M872" s="2" t="n"/>
      <c r="N872" s="2" t="n"/>
      <c r="O872" s="2" t="n"/>
      <c r="P872" s="2" t="n"/>
      <c r="Q872" s="4">
        <f>IF(OR(A872="",E872=""),"",IF(MAXIFS($E$2:$E$1001,$A$2:$A$1001,A872,$E$2:$E$1001,"&lt;"&amp;E872)=0,"",SUMIFS($G$2:$G$1001,$A$2:$A$1001,A872,$E$2:$E$1001,MAXIFS($E$2:$E$1001,$A$2:$A$1001,A872,$E$2:$E$1001,"&lt;"&amp;E872))))</f>
        <v/>
      </c>
      <c r="R872" s="9">
        <f>IF(OR(Q872="",G872=""),"",G872-Q872)</f>
        <v/>
      </c>
      <c r="S872" s="9">
        <f>IF(R872="","",SUMIFS($R$2:$R$1001,$A$2:$A$1001,A872,$E$2:$E$1001,"&lt;="&amp;E872))</f>
        <v/>
      </c>
      <c r="T872" s="5">
        <f>IF(A872="","",IF(R872="","initial",IF(ABS(R872)&lt;=ShiftThresholdDays,"unchanged",IF(R872&gt;0,"delayed","accelerated"))))</f>
        <v/>
      </c>
    </row>
    <row r="873">
      <c r="A873" s="2" t="n"/>
      <c r="B873" s="2" t="n"/>
      <c r="C873" s="2" t="n"/>
      <c r="D873" s="2" t="n"/>
      <c r="E873" s="2" t="n"/>
      <c r="F873" s="2" t="n"/>
      <c r="G873" s="3" t="n"/>
      <c r="H873" s="2" t="n"/>
      <c r="I873" s="3" t="n"/>
      <c r="J873" s="2" t="n"/>
      <c r="K873" s="2" t="n"/>
      <c r="L873" s="2" t="n"/>
      <c r="M873" s="2" t="n"/>
      <c r="N873" s="2" t="n"/>
      <c r="O873" s="2" t="n"/>
      <c r="P873" s="2" t="n"/>
      <c r="Q873" s="4">
        <f>IF(OR(A873="",E873=""),"",IF(MAXIFS($E$2:$E$1001,$A$2:$A$1001,A873,$E$2:$E$1001,"&lt;"&amp;E873)=0,"",SUMIFS($G$2:$G$1001,$A$2:$A$1001,A873,$E$2:$E$1001,MAXIFS($E$2:$E$1001,$A$2:$A$1001,A873,$E$2:$E$1001,"&lt;"&amp;E873))))</f>
        <v/>
      </c>
      <c r="R873" s="9">
        <f>IF(OR(Q873="",G873=""),"",G873-Q873)</f>
        <v/>
      </c>
      <c r="S873" s="9">
        <f>IF(R873="","",SUMIFS($R$2:$R$1001,$A$2:$A$1001,A873,$E$2:$E$1001,"&lt;="&amp;E873))</f>
        <v/>
      </c>
      <c r="T873" s="5">
        <f>IF(A873="","",IF(R873="","initial",IF(ABS(R873)&lt;=ShiftThresholdDays,"unchanged",IF(R873&gt;0,"delayed","accelerated"))))</f>
        <v/>
      </c>
    </row>
    <row r="874">
      <c r="A874" s="2" t="n"/>
      <c r="B874" s="2" t="n"/>
      <c r="C874" s="2" t="n"/>
      <c r="D874" s="2" t="n"/>
      <c r="E874" s="2" t="n"/>
      <c r="F874" s="2" t="n"/>
      <c r="G874" s="3" t="n"/>
      <c r="H874" s="2" t="n"/>
      <c r="I874" s="3" t="n"/>
      <c r="J874" s="2" t="n"/>
      <c r="K874" s="2" t="n"/>
      <c r="L874" s="2" t="n"/>
      <c r="M874" s="2" t="n"/>
      <c r="N874" s="2" t="n"/>
      <c r="O874" s="2" t="n"/>
      <c r="P874" s="2" t="n"/>
      <c r="Q874" s="4">
        <f>IF(OR(A874="",E874=""),"",IF(MAXIFS($E$2:$E$1001,$A$2:$A$1001,A874,$E$2:$E$1001,"&lt;"&amp;E874)=0,"",SUMIFS($G$2:$G$1001,$A$2:$A$1001,A874,$E$2:$E$1001,MAXIFS($E$2:$E$1001,$A$2:$A$1001,A874,$E$2:$E$1001,"&lt;"&amp;E874))))</f>
        <v/>
      </c>
      <c r="R874" s="9">
        <f>IF(OR(Q874="",G874=""),"",G874-Q874)</f>
        <v/>
      </c>
      <c r="S874" s="9">
        <f>IF(R874="","",SUMIFS($R$2:$R$1001,$A$2:$A$1001,A874,$E$2:$E$1001,"&lt;="&amp;E874))</f>
        <v/>
      </c>
      <c r="T874" s="5">
        <f>IF(A874="","",IF(R874="","initial",IF(ABS(R874)&lt;=ShiftThresholdDays,"unchanged",IF(R874&gt;0,"delayed","accelerated"))))</f>
        <v/>
      </c>
    </row>
    <row r="875">
      <c r="A875" s="2" t="n"/>
      <c r="B875" s="2" t="n"/>
      <c r="C875" s="2" t="n"/>
      <c r="D875" s="2" t="n"/>
      <c r="E875" s="2" t="n"/>
      <c r="F875" s="2" t="n"/>
      <c r="G875" s="3" t="n"/>
      <c r="H875" s="2" t="n"/>
      <c r="I875" s="3" t="n"/>
      <c r="J875" s="2" t="n"/>
      <c r="K875" s="2" t="n"/>
      <c r="L875" s="2" t="n"/>
      <c r="M875" s="2" t="n"/>
      <c r="N875" s="2" t="n"/>
      <c r="O875" s="2" t="n"/>
      <c r="P875" s="2" t="n"/>
      <c r="Q875" s="4">
        <f>IF(OR(A875="",E875=""),"",IF(MAXIFS($E$2:$E$1001,$A$2:$A$1001,A875,$E$2:$E$1001,"&lt;"&amp;E875)=0,"",SUMIFS($G$2:$G$1001,$A$2:$A$1001,A875,$E$2:$E$1001,MAXIFS($E$2:$E$1001,$A$2:$A$1001,A875,$E$2:$E$1001,"&lt;"&amp;E875))))</f>
        <v/>
      </c>
      <c r="R875" s="9">
        <f>IF(OR(Q875="",G875=""),"",G875-Q875)</f>
        <v/>
      </c>
      <c r="S875" s="9">
        <f>IF(R875="","",SUMIFS($R$2:$R$1001,$A$2:$A$1001,A875,$E$2:$E$1001,"&lt;="&amp;E875))</f>
        <v/>
      </c>
      <c r="T875" s="5">
        <f>IF(A875="","",IF(R875="","initial",IF(ABS(R875)&lt;=ShiftThresholdDays,"unchanged",IF(R875&gt;0,"delayed","accelerated"))))</f>
        <v/>
      </c>
    </row>
    <row r="876">
      <c r="A876" s="2" t="n"/>
      <c r="B876" s="2" t="n"/>
      <c r="C876" s="2" t="n"/>
      <c r="D876" s="2" t="n"/>
      <c r="E876" s="2" t="n"/>
      <c r="F876" s="2" t="n"/>
      <c r="G876" s="3" t="n"/>
      <c r="H876" s="2" t="n"/>
      <c r="I876" s="3" t="n"/>
      <c r="J876" s="2" t="n"/>
      <c r="K876" s="2" t="n"/>
      <c r="L876" s="2" t="n"/>
      <c r="M876" s="2" t="n"/>
      <c r="N876" s="2" t="n"/>
      <c r="O876" s="2" t="n"/>
      <c r="P876" s="2" t="n"/>
      <c r="Q876" s="4">
        <f>IF(OR(A876="",E876=""),"",IF(MAXIFS($E$2:$E$1001,$A$2:$A$1001,A876,$E$2:$E$1001,"&lt;"&amp;E876)=0,"",SUMIFS($G$2:$G$1001,$A$2:$A$1001,A876,$E$2:$E$1001,MAXIFS($E$2:$E$1001,$A$2:$A$1001,A876,$E$2:$E$1001,"&lt;"&amp;E876))))</f>
        <v/>
      </c>
      <c r="R876" s="9">
        <f>IF(OR(Q876="",G876=""),"",G876-Q876)</f>
        <v/>
      </c>
      <c r="S876" s="9">
        <f>IF(R876="","",SUMIFS($R$2:$R$1001,$A$2:$A$1001,A876,$E$2:$E$1001,"&lt;="&amp;E876))</f>
        <v/>
      </c>
      <c r="T876" s="5">
        <f>IF(A876="","",IF(R876="","initial",IF(ABS(R876)&lt;=ShiftThresholdDays,"unchanged",IF(R876&gt;0,"delayed","accelerated"))))</f>
        <v/>
      </c>
    </row>
    <row r="877">
      <c r="A877" s="2" t="n"/>
      <c r="B877" s="2" t="n"/>
      <c r="C877" s="2" t="n"/>
      <c r="D877" s="2" t="n"/>
      <c r="E877" s="2" t="n"/>
      <c r="F877" s="2" t="n"/>
      <c r="G877" s="3" t="n"/>
      <c r="H877" s="2" t="n"/>
      <c r="I877" s="3" t="n"/>
      <c r="J877" s="2" t="n"/>
      <c r="K877" s="2" t="n"/>
      <c r="L877" s="2" t="n"/>
      <c r="M877" s="2" t="n"/>
      <c r="N877" s="2" t="n"/>
      <c r="O877" s="2" t="n"/>
      <c r="P877" s="2" t="n"/>
      <c r="Q877" s="4">
        <f>IF(OR(A877="",E877=""),"",IF(MAXIFS($E$2:$E$1001,$A$2:$A$1001,A877,$E$2:$E$1001,"&lt;"&amp;E877)=0,"",SUMIFS($G$2:$G$1001,$A$2:$A$1001,A877,$E$2:$E$1001,MAXIFS($E$2:$E$1001,$A$2:$A$1001,A877,$E$2:$E$1001,"&lt;"&amp;E877))))</f>
        <v/>
      </c>
      <c r="R877" s="9">
        <f>IF(OR(Q877="",G877=""),"",G877-Q877)</f>
        <v/>
      </c>
      <c r="S877" s="9">
        <f>IF(R877="","",SUMIFS($R$2:$R$1001,$A$2:$A$1001,A877,$E$2:$E$1001,"&lt;="&amp;E877))</f>
        <v/>
      </c>
      <c r="T877" s="5">
        <f>IF(A877="","",IF(R877="","initial",IF(ABS(R877)&lt;=ShiftThresholdDays,"unchanged",IF(R877&gt;0,"delayed","accelerated"))))</f>
        <v/>
      </c>
    </row>
    <row r="878">
      <c r="A878" s="2" t="n"/>
      <c r="B878" s="2" t="n"/>
      <c r="C878" s="2" t="n"/>
      <c r="D878" s="2" t="n"/>
      <c r="E878" s="2" t="n"/>
      <c r="F878" s="2" t="n"/>
      <c r="G878" s="3" t="n"/>
      <c r="H878" s="2" t="n"/>
      <c r="I878" s="3" t="n"/>
      <c r="J878" s="2" t="n"/>
      <c r="K878" s="2" t="n"/>
      <c r="L878" s="2" t="n"/>
      <c r="M878" s="2" t="n"/>
      <c r="N878" s="2" t="n"/>
      <c r="O878" s="2" t="n"/>
      <c r="P878" s="2" t="n"/>
      <c r="Q878" s="4">
        <f>IF(OR(A878="",E878=""),"",IF(MAXIFS($E$2:$E$1001,$A$2:$A$1001,A878,$E$2:$E$1001,"&lt;"&amp;E878)=0,"",SUMIFS($G$2:$G$1001,$A$2:$A$1001,A878,$E$2:$E$1001,MAXIFS($E$2:$E$1001,$A$2:$A$1001,A878,$E$2:$E$1001,"&lt;"&amp;E878))))</f>
        <v/>
      </c>
      <c r="R878" s="9">
        <f>IF(OR(Q878="",G878=""),"",G878-Q878)</f>
        <v/>
      </c>
      <c r="S878" s="9">
        <f>IF(R878="","",SUMIFS($R$2:$R$1001,$A$2:$A$1001,A878,$E$2:$E$1001,"&lt;="&amp;E878))</f>
        <v/>
      </c>
      <c r="T878" s="5">
        <f>IF(A878="","",IF(R878="","initial",IF(ABS(R878)&lt;=ShiftThresholdDays,"unchanged",IF(R878&gt;0,"delayed","accelerated"))))</f>
        <v/>
      </c>
    </row>
    <row r="879">
      <c r="A879" s="2" t="n"/>
      <c r="B879" s="2" t="n"/>
      <c r="C879" s="2" t="n"/>
      <c r="D879" s="2" t="n"/>
      <c r="E879" s="2" t="n"/>
      <c r="F879" s="2" t="n"/>
      <c r="G879" s="3" t="n"/>
      <c r="H879" s="2" t="n"/>
      <c r="I879" s="3" t="n"/>
      <c r="J879" s="2" t="n"/>
      <c r="K879" s="2" t="n"/>
      <c r="L879" s="2" t="n"/>
      <c r="M879" s="2" t="n"/>
      <c r="N879" s="2" t="n"/>
      <c r="O879" s="2" t="n"/>
      <c r="P879" s="2" t="n"/>
      <c r="Q879" s="4">
        <f>IF(OR(A879="",E879=""),"",IF(MAXIFS($E$2:$E$1001,$A$2:$A$1001,A879,$E$2:$E$1001,"&lt;"&amp;E879)=0,"",SUMIFS($G$2:$G$1001,$A$2:$A$1001,A879,$E$2:$E$1001,MAXIFS($E$2:$E$1001,$A$2:$A$1001,A879,$E$2:$E$1001,"&lt;"&amp;E879))))</f>
        <v/>
      </c>
      <c r="R879" s="9">
        <f>IF(OR(Q879="",G879=""),"",G879-Q879)</f>
        <v/>
      </c>
      <c r="S879" s="9">
        <f>IF(R879="","",SUMIFS($R$2:$R$1001,$A$2:$A$1001,A879,$E$2:$E$1001,"&lt;="&amp;E879))</f>
        <v/>
      </c>
      <c r="T879" s="5">
        <f>IF(A879="","",IF(R879="","initial",IF(ABS(R879)&lt;=ShiftThresholdDays,"unchanged",IF(R879&gt;0,"delayed","accelerated"))))</f>
        <v/>
      </c>
    </row>
    <row r="880">
      <c r="A880" s="2" t="n"/>
      <c r="B880" s="2" t="n"/>
      <c r="C880" s="2" t="n"/>
      <c r="D880" s="2" t="n"/>
      <c r="E880" s="2" t="n"/>
      <c r="F880" s="2" t="n"/>
      <c r="G880" s="3" t="n"/>
      <c r="H880" s="2" t="n"/>
      <c r="I880" s="3" t="n"/>
      <c r="J880" s="2" t="n"/>
      <c r="K880" s="2" t="n"/>
      <c r="L880" s="2" t="n"/>
      <c r="M880" s="2" t="n"/>
      <c r="N880" s="2" t="n"/>
      <c r="O880" s="2" t="n"/>
      <c r="P880" s="2" t="n"/>
      <c r="Q880" s="4">
        <f>IF(OR(A880="",E880=""),"",IF(MAXIFS($E$2:$E$1001,$A$2:$A$1001,A880,$E$2:$E$1001,"&lt;"&amp;E880)=0,"",SUMIFS($G$2:$G$1001,$A$2:$A$1001,A880,$E$2:$E$1001,MAXIFS($E$2:$E$1001,$A$2:$A$1001,A880,$E$2:$E$1001,"&lt;"&amp;E880))))</f>
        <v/>
      </c>
      <c r="R880" s="9">
        <f>IF(OR(Q880="",G880=""),"",G880-Q880)</f>
        <v/>
      </c>
      <c r="S880" s="9">
        <f>IF(R880="","",SUMIFS($R$2:$R$1001,$A$2:$A$1001,A880,$E$2:$E$1001,"&lt;="&amp;E880))</f>
        <v/>
      </c>
      <c r="T880" s="5">
        <f>IF(A880="","",IF(R880="","initial",IF(ABS(R880)&lt;=ShiftThresholdDays,"unchanged",IF(R880&gt;0,"delayed","accelerated"))))</f>
        <v/>
      </c>
    </row>
    <row r="881">
      <c r="A881" s="2" t="n"/>
      <c r="B881" s="2" t="n"/>
      <c r="C881" s="2" t="n"/>
      <c r="D881" s="2" t="n"/>
      <c r="E881" s="2" t="n"/>
      <c r="F881" s="2" t="n"/>
      <c r="G881" s="3" t="n"/>
      <c r="H881" s="2" t="n"/>
      <c r="I881" s="3" t="n"/>
      <c r="J881" s="2" t="n"/>
      <c r="K881" s="2" t="n"/>
      <c r="L881" s="2" t="n"/>
      <c r="M881" s="2" t="n"/>
      <c r="N881" s="2" t="n"/>
      <c r="O881" s="2" t="n"/>
      <c r="P881" s="2" t="n"/>
      <c r="Q881" s="4">
        <f>IF(OR(A881="",E881=""),"",IF(MAXIFS($E$2:$E$1001,$A$2:$A$1001,A881,$E$2:$E$1001,"&lt;"&amp;E881)=0,"",SUMIFS($G$2:$G$1001,$A$2:$A$1001,A881,$E$2:$E$1001,MAXIFS($E$2:$E$1001,$A$2:$A$1001,A881,$E$2:$E$1001,"&lt;"&amp;E881))))</f>
        <v/>
      </c>
      <c r="R881" s="9">
        <f>IF(OR(Q881="",G881=""),"",G881-Q881)</f>
        <v/>
      </c>
      <c r="S881" s="9">
        <f>IF(R881="","",SUMIFS($R$2:$R$1001,$A$2:$A$1001,A881,$E$2:$E$1001,"&lt;="&amp;E881))</f>
        <v/>
      </c>
      <c r="T881" s="5">
        <f>IF(A881="","",IF(R881="","initial",IF(ABS(R881)&lt;=ShiftThresholdDays,"unchanged",IF(R881&gt;0,"delayed","accelerated"))))</f>
        <v/>
      </c>
    </row>
    <row r="882">
      <c r="A882" s="2" t="n"/>
      <c r="B882" s="2" t="n"/>
      <c r="C882" s="2" t="n"/>
      <c r="D882" s="2" t="n"/>
      <c r="E882" s="2" t="n"/>
      <c r="F882" s="2" t="n"/>
      <c r="G882" s="3" t="n"/>
      <c r="H882" s="2" t="n"/>
      <c r="I882" s="3" t="n"/>
      <c r="J882" s="2" t="n"/>
      <c r="K882" s="2" t="n"/>
      <c r="L882" s="2" t="n"/>
      <c r="M882" s="2" t="n"/>
      <c r="N882" s="2" t="n"/>
      <c r="O882" s="2" t="n"/>
      <c r="P882" s="2" t="n"/>
      <c r="Q882" s="4">
        <f>IF(OR(A882="",E882=""),"",IF(MAXIFS($E$2:$E$1001,$A$2:$A$1001,A882,$E$2:$E$1001,"&lt;"&amp;E882)=0,"",SUMIFS($G$2:$G$1001,$A$2:$A$1001,A882,$E$2:$E$1001,MAXIFS($E$2:$E$1001,$A$2:$A$1001,A882,$E$2:$E$1001,"&lt;"&amp;E882))))</f>
        <v/>
      </c>
      <c r="R882" s="9">
        <f>IF(OR(Q882="",G882=""),"",G882-Q882)</f>
        <v/>
      </c>
      <c r="S882" s="9">
        <f>IF(R882="","",SUMIFS($R$2:$R$1001,$A$2:$A$1001,A882,$E$2:$E$1001,"&lt;="&amp;E882))</f>
        <v/>
      </c>
      <c r="T882" s="5">
        <f>IF(A882="","",IF(R882="","initial",IF(ABS(R882)&lt;=ShiftThresholdDays,"unchanged",IF(R882&gt;0,"delayed","accelerated"))))</f>
        <v/>
      </c>
    </row>
    <row r="883">
      <c r="A883" s="2" t="n"/>
      <c r="B883" s="2" t="n"/>
      <c r="C883" s="2" t="n"/>
      <c r="D883" s="2" t="n"/>
      <c r="E883" s="2" t="n"/>
      <c r="F883" s="2" t="n"/>
      <c r="G883" s="3" t="n"/>
      <c r="H883" s="2" t="n"/>
      <c r="I883" s="3" t="n"/>
      <c r="J883" s="2" t="n"/>
      <c r="K883" s="2" t="n"/>
      <c r="L883" s="2" t="n"/>
      <c r="M883" s="2" t="n"/>
      <c r="N883" s="2" t="n"/>
      <c r="O883" s="2" t="n"/>
      <c r="P883" s="2" t="n"/>
      <c r="Q883" s="4">
        <f>IF(OR(A883="",E883=""),"",IF(MAXIFS($E$2:$E$1001,$A$2:$A$1001,A883,$E$2:$E$1001,"&lt;"&amp;E883)=0,"",SUMIFS($G$2:$G$1001,$A$2:$A$1001,A883,$E$2:$E$1001,MAXIFS($E$2:$E$1001,$A$2:$A$1001,A883,$E$2:$E$1001,"&lt;"&amp;E883))))</f>
        <v/>
      </c>
      <c r="R883" s="9">
        <f>IF(OR(Q883="",G883=""),"",G883-Q883)</f>
        <v/>
      </c>
      <c r="S883" s="9">
        <f>IF(R883="","",SUMIFS($R$2:$R$1001,$A$2:$A$1001,A883,$E$2:$E$1001,"&lt;="&amp;E883))</f>
        <v/>
      </c>
      <c r="T883" s="5">
        <f>IF(A883="","",IF(R883="","initial",IF(ABS(R883)&lt;=ShiftThresholdDays,"unchanged",IF(R883&gt;0,"delayed","accelerated"))))</f>
        <v/>
      </c>
    </row>
    <row r="884">
      <c r="A884" s="2" t="n"/>
      <c r="B884" s="2" t="n"/>
      <c r="C884" s="2" t="n"/>
      <c r="D884" s="2" t="n"/>
      <c r="E884" s="2" t="n"/>
      <c r="F884" s="2" t="n"/>
      <c r="G884" s="3" t="n"/>
      <c r="H884" s="2" t="n"/>
      <c r="I884" s="3" t="n"/>
      <c r="J884" s="2" t="n"/>
      <c r="K884" s="2" t="n"/>
      <c r="L884" s="2" t="n"/>
      <c r="M884" s="2" t="n"/>
      <c r="N884" s="2" t="n"/>
      <c r="O884" s="2" t="n"/>
      <c r="P884" s="2" t="n"/>
      <c r="Q884" s="4">
        <f>IF(OR(A884="",E884=""),"",IF(MAXIFS($E$2:$E$1001,$A$2:$A$1001,A884,$E$2:$E$1001,"&lt;"&amp;E884)=0,"",SUMIFS($G$2:$G$1001,$A$2:$A$1001,A884,$E$2:$E$1001,MAXIFS($E$2:$E$1001,$A$2:$A$1001,A884,$E$2:$E$1001,"&lt;"&amp;E884))))</f>
        <v/>
      </c>
      <c r="R884" s="9">
        <f>IF(OR(Q884="",G884=""),"",G884-Q884)</f>
        <v/>
      </c>
      <c r="S884" s="9">
        <f>IF(R884="","",SUMIFS($R$2:$R$1001,$A$2:$A$1001,A884,$E$2:$E$1001,"&lt;="&amp;E884))</f>
        <v/>
      </c>
      <c r="T884" s="5">
        <f>IF(A884="","",IF(R884="","initial",IF(ABS(R884)&lt;=ShiftThresholdDays,"unchanged",IF(R884&gt;0,"delayed","accelerated"))))</f>
        <v/>
      </c>
    </row>
    <row r="885">
      <c r="A885" s="2" t="n"/>
      <c r="B885" s="2" t="n"/>
      <c r="C885" s="2" t="n"/>
      <c r="D885" s="2" t="n"/>
      <c r="E885" s="2" t="n"/>
      <c r="F885" s="2" t="n"/>
      <c r="G885" s="3" t="n"/>
      <c r="H885" s="2" t="n"/>
      <c r="I885" s="3" t="n"/>
      <c r="J885" s="2" t="n"/>
      <c r="K885" s="2" t="n"/>
      <c r="L885" s="2" t="n"/>
      <c r="M885" s="2" t="n"/>
      <c r="N885" s="2" t="n"/>
      <c r="O885" s="2" t="n"/>
      <c r="P885" s="2" t="n"/>
      <c r="Q885" s="4">
        <f>IF(OR(A885="",E885=""),"",IF(MAXIFS($E$2:$E$1001,$A$2:$A$1001,A885,$E$2:$E$1001,"&lt;"&amp;E885)=0,"",SUMIFS($G$2:$G$1001,$A$2:$A$1001,A885,$E$2:$E$1001,MAXIFS($E$2:$E$1001,$A$2:$A$1001,A885,$E$2:$E$1001,"&lt;"&amp;E885))))</f>
        <v/>
      </c>
      <c r="R885" s="9">
        <f>IF(OR(Q885="",G885=""),"",G885-Q885)</f>
        <v/>
      </c>
      <c r="S885" s="9">
        <f>IF(R885="","",SUMIFS($R$2:$R$1001,$A$2:$A$1001,A885,$E$2:$E$1001,"&lt;="&amp;E885))</f>
        <v/>
      </c>
      <c r="T885" s="5">
        <f>IF(A885="","",IF(R885="","initial",IF(ABS(R885)&lt;=ShiftThresholdDays,"unchanged",IF(R885&gt;0,"delayed","accelerated"))))</f>
        <v/>
      </c>
    </row>
    <row r="886">
      <c r="A886" s="2" t="n"/>
      <c r="B886" s="2" t="n"/>
      <c r="C886" s="2" t="n"/>
      <c r="D886" s="2" t="n"/>
      <c r="E886" s="2" t="n"/>
      <c r="F886" s="2" t="n"/>
      <c r="G886" s="3" t="n"/>
      <c r="H886" s="2" t="n"/>
      <c r="I886" s="3" t="n"/>
      <c r="J886" s="2" t="n"/>
      <c r="K886" s="2" t="n"/>
      <c r="L886" s="2" t="n"/>
      <c r="M886" s="2" t="n"/>
      <c r="N886" s="2" t="n"/>
      <c r="O886" s="2" t="n"/>
      <c r="P886" s="2" t="n"/>
      <c r="Q886" s="4">
        <f>IF(OR(A886="",E886=""),"",IF(MAXIFS($E$2:$E$1001,$A$2:$A$1001,A886,$E$2:$E$1001,"&lt;"&amp;E886)=0,"",SUMIFS($G$2:$G$1001,$A$2:$A$1001,A886,$E$2:$E$1001,MAXIFS($E$2:$E$1001,$A$2:$A$1001,A886,$E$2:$E$1001,"&lt;"&amp;E886))))</f>
        <v/>
      </c>
      <c r="R886" s="9">
        <f>IF(OR(Q886="",G886=""),"",G886-Q886)</f>
        <v/>
      </c>
      <c r="S886" s="9">
        <f>IF(R886="","",SUMIFS($R$2:$R$1001,$A$2:$A$1001,A886,$E$2:$E$1001,"&lt;="&amp;E886))</f>
        <v/>
      </c>
      <c r="T886" s="5">
        <f>IF(A886="","",IF(R886="","initial",IF(ABS(R886)&lt;=ShiftThresholdDays,"unchanged",IF(R886&gt;0,"delayed","accelerated"))))</f>
        <v/>
      </c>
    </row>
    <row r="887">
      <c r="A887" s="2" t="n"/>
      <c r="B887" s="2" t="n"/>
      <c r="C887" s="2" t="n"/>
      <c r="D887" s="2" t="n"/>
      <c r="E887" s="2" t="n"/>
      <c r="F887" s="2" t="n"/>
      <c r="G887" s="3" t="n"/>
      <c r="H887" s="2" t="n"/>
      <c r="I887" s="3" t="n"/>
      <c r="J887" s="2" t="n"/>
      <c r="K887" s="2" t="n"/>
      <c r="L887" s="2" t="n"/>
      <c r="M887" s="2" t="n"/>
      <c r="N887" s="2" t="n"/>
      <c r="O887" s="2" t="n"/>
      <c r="P887" s="2" t="n"/>
      <c r="Q887" s="4">
        <f>IF(OR(A887="",E887=""),"",IF(MAXIFS($E$2:$E$1001,$A$2:$A$1001,A887,$E$2:$E$1001,"&lt;"&amp;E887)=0,"",SUMIFS($G$2:$G$1001,$A$2:$A$1001,A887,$E$2:$E$1001,MAXIFS($E$2:$E$1001,$A$2:$A$1001,A887,$E$2:$E$1001,"&lt;"&amp;E887))))</f>
        <v/>
      </c>
      <c r="R887" s="9">
        <f>IF(OR(Q887="",G887=""),"",G887-Q887)</f>
        <v/>
      </c>
      <c r="S887" s="9">
        <f>IF(R887="","",SUMIFS($R$2:$R$1001,$A$2:$A$1001,A887,$E$2:$E$1001,"&lt;="&amp;E887))</f>
        <v/>
      </c>
      <c r="T887" s="5">
        <f>IF(A887="","",IF(R887="","initial",IF(ABS(R887)&lt;=ShiftThresholdDays,"unchanged",IF(R887&gt;0,"delayed","accelerated"))))</f>
        <v/>
      </c>
    </row>
    <row r="888">
      <c r="A888" s="2" t="n"/>
      <c r="B888" s="2" t="n"/>
      <c r="C888" s="2" t="n"/>
      <c r="D888" s="2" t="n"/>
      <c r="E888" s="2" t="n"/>
      <c r="F888" s="2" t="n"/>
      <c r="G888" s="3" t="n"/>
      <c r="H888" s="2" t="n"/>
      <c r="I888" s="3" t="n"/>
      <c r="J888" s="2" t="n"/>
      <c r="K888" s="2" t="n"/>
      <c r="L888" s="2" t="n"/>
      <c r="M888" s="2" t="n"/>
      <c r="N888" s="2" t="n"/>
      <c r="O888" s="2" t="n"/>
      <c r="P888" s="2" t="n"/>
      <c r="Q888" s="4">
        <f>IF(OR(A888="",E888=""),"",IF(MAXIFS($E$2:$E$1001,$A$2:$A$1001,A888,$E$2:$E$1001,"&lt;"&amp;E888)=0,"",SUMIFS($G$2:$G$1001,$A$2:$A$1001,A888,$E$2:$E$1001,MAXIFS($E$2:$E$1001,$A$2:$A$1001,A888,$E$2:$E$1001,"&lt;"&amp;E888))))</f>
        <v/>
      </c>
      <c r="R888" s="9">
        <f>IF(OR(Q888="",G888=""),"",G888-Q888)</f>
        <v/>
      </c>
      <c r="S888" s="9">
        <f>IF(R888="","",SUMIFS($R$2:$R$1001,$A$2:$A$1001,A888,$E$2:$E$1001,"&lt;="&amp;E888))</f>
        <v/>
      </c>
      <c r="T888" s="5">
        <f>IF(A888="","",IF(R888="","initial",IF(ABS(R888)&lt;=ShiftThresholdDays,"unchanged",IF(R888&gt;0,"delayed","accelerated"))))</f>
        <v/>
      </c>
    </row>
    <row r="889">
      <c r="A889" s="2" t="n"/>
      <c r="B889" s="2" t="n"/>
      <c r="C889" s="2" t="n"/>
      <c r="D889" s="2" t="n"/>
      <c r="E889" s="2" t="n"/>
      <c r="F889" s="2" t="n"/>
      <c r="G889" s="3" t="n"/>
      <c r="H889" s="2" t="n"/>
      <c r="I889" s="3" t="n"/>
      <c r="J889" s="2" t="n"/>
      <c r="K889" s="2" t="n"/>
      <c r="L889" s="2" t="n"/>
      <c r="M889" s="2" t="n"/>
      <c r="N889" s="2" t="n"/>
      <c r="O889" s="2" t="n"/>
      <c r="P889" s="2" t="n"/>
      <c r="Q889" s="4">
        <f>IF(OR(A889="",E889=""),"",IF(MAXIFS($E$2:$E$1001,$A$2:$A$1001,A889,$E$2:$E$1001,"&lt;"&amp;E889)=0,"",SUMIFS($G$2:$G$1001,$A$2:$A$1001,A889,$E$2:$E$1001,MAXIFS($E$2:$E$1001,$A$2:$A$1001,A889,$E$2:$E$1001,"&lt;"&amp;E889))))</f>
        <v/>
      </c>
      <c r="R889" s="9">
        <f>IF(OR(Q889="",G889=""),"",G889-Q889)</f>
        <v/>
      </c>
      <c r="S889" s="9">
        <f>IF(R889="","",SUMIFS($R$2:$R$1001,$A$2:$A$1001,A889,$E$2:$E$1001,"&lt;="&amp;E889))</f>
        <v/>
      </c>
      <c r="T889" s="5">
        <f>IF(A889="","",IF(R889="","initial",IF(ABS(R889)&lt;=ShiftThresholdDays,"unchanged",IF(R889&gt;0,"delayed","accelerated"))))</f>
        <v/>
      </c>
    </row>
    <row r="890">
      <c r="A890" s="2" t="n"/>
      <c r="B890" s="2" t="n"/>
      <c r="C890" s="2" t="n"/>
      <c r="D890" s="2" t="n"/>
      <c r="E890" s="2" t="n"/>
      <c r="F890" s="2" t="n"/>
      <c r="G890" s="3" t="n"/>
      <c r="H890" s="2" t="n"/>
      <c r="I890" s="3" t="n"/>
      <c r="J890" s="2" t="n"/>
      <c r="K890" s="2" t="n"/>
      <c r="L890" s="2" t="n"/>
      <c r="M890" s="2" t="n"/>
      <c r="N890" s="2" t="n"/>
      <c r="O890" s="2" t="n"/>
      <c r="P890" s="2" t="n"/>
      <c r="Q890" s="4">
        <f>IF(OR(A890="",E890=""),"",IF(MAXIFS($E$2:$E$1001,$A$2:$A$1001,A890,$E$2:$E$1001,"&lt;"&amp;E890)=0,"",SUMIFS($G$2:$G$1001,$A$2:$A$1001,A890,$E$2:$E$1001,MAXIFS($E$2:$E$1001,$A$2:$A$1001,A890,$E$2:$E$1001,"&lt;"&amp;E890))))</f>
        <v/>
      </c>
      <c r="R890" s="9">
        <f>IF(OR(Q890="",G890=""),"",G890-Q890)</f>
        <v/>
      </c>
      <c r="S890" s="9">
        <f>IF(R890="","",SUMIFS($R$2:$R$1001,$A$2:$A$1001,A890,$E$2:$E$1001,"&lt;="&amp;E890))</f>
        <v/>
      </c>
      <c r="T890" s="5">
        <f>IF(A890="","",IF(R890="","initial",IF(ABS(R890)&lt;=ShiftThresholdDays,"unchanged",IF(R890&gt;0,"delayed","accelerated"))))</f>
        <v/>
      </c>
    </row>
    <row r="891">
      <c r="A891" s="2" t="n"/>
      <c r="B891" s="2" t="n"/>
      <c r="C891" s="2" t="n"/>
      <c r="D891" s="2" t="n"/>
      <c r="E891" s="2" t="n"/>
      <c r="F891" s="2" t="n"/>
      <c r="G891" s="3" t="n"/>
      <c r="H891" s="2" t="n"/>
      <c r="I891" s="3" t="n"/>
      <c r="J891" s="2" t="n"/>
      <c r="K891" s="2" t="n"/>
      <c r="L891" s="2" t="n"/>
      <c r="M891" s="2" t="n"/>
      <c r="N891" s="2" t="n"/>
      <c r="O891" s="2" t="n"/>
      <c r="P891" s="2" t="n"/>
      <c r="Q891" s="4">
        <f>IF(OR(A891="",E891=""),"",IF(MAXIFS($E$2:$E$1001,$A$2:$A$1001,A891,$E$2:$E$1001,"&lt;"&amp;E891)=0,"",SUMIFS($G$2:$G$1001,$A$2:$A$1001,A891,$E$2:$E$1001,MAXIFS($E$2:$E$1001,$A$2:$A$1001,A891,$E$2:$E$1001,"&lt;"&amp;E891))))</f>
        <v/>
      </c>
      <c r="R891" s="9">
        <f>IF(OR(Q891="",G891=""),"",G891-Q891)</f>
        <v/>
      </c>
      <c r="S891" s="9">
        <f>IF(R891="","",SUMIFS($R$2:$R$1001,$A$2:$A$1001,A891,$E$2:$E$1001,"&lt;="&amp;E891))</f>
        <v/>
      </c>
      <c r="T891" s="5">
        <f>IF(A891="","",IF(R891="","initial",IF(ABS(R891)&lt;=ShiftThresholdDays,"unchanged",IF(R891&gt;0,"delayed","accelerated"))))</f>
        <v/>
      </c>
    </row>
    <row r="892">
      <c r="A892" s="2" t="n"/>
      <c r="B892" s="2" t="n"/>
      <c r="C892" s="2" t="n"/>
      <c r="D892" s="2" t="n"/>
      <c r="E892" s="2" t="n"/>
      <c r="F892" s="2" t="n"/>
      <c r="G892" s="3" t="n"/>
      <c r="H892" s="2" t="n"/>
      <c r="I892" s="3" t="n"/>
      <c r="J892" s="2" t="n"/>
      <c r="K892" s="2" t="n"/>
      <c r="L892" s="2" t="n"/>
      <c r="M892" s="2" t="n"/>
      <c r="N892" s="2" t="n"/>
      <c r="O892" s="2" t="n"/>
      <c r="P892" s="2" t="n"/>
      <c r="Q892" s="4">
        <f>IF(OR(A892="",E892=""),"",IF(MAXIFS($E$2:$E$1001,$A$2:$A$1001,A892,$E$2:$E$1001,"&lt;"&amp;E892)=0,"",SUMIFS($G$2:$G$1001,$A$2:$A$1001,A892,$E$2:$E$1001,MAXIFS($E$2:$E$1001,$A$2:$A$1001,A892,$E$2:$E$1001,"&lt;"&amp;E892))))</f>
        <v/>
      </c>
      <c r="R892" s="9">
        <f>IF(OR(Q892="",G892=""),"",G892-Q892)</f>
        <v/>
      </c>
      <c r="S892" s="9">
        <f>IF(R892="","",SUMIFS($R$2:$R$1001,$A$2:$A$1001,A892,$E$2:$E$1001,"&lt;="&amp;E892))</f>
        <v/>
      </c>
      <c r="T892" s="5">
        <f>IF(A892="","",IF(R892="","initial",IF(ABS(R892)&lt;=ShiftThresholdDays,"unchanged",IF(R892&gt;0,"delayed","accelerated"))))</f>
        <v/>
      </c>
    </row>
    <row r="893">
      <c r="A893" s="2" t="n"/>
      <c r="B893" s="2" t="n"/>
      <c r="C893" s="2" t="n"/>
      <c r="D893" s="2" t="n"/>
      <c r="E893" s="2" t="n"/>
      <c r="F893" s="2" t="n"/>
      <c r="G893" s="3" t="n"/>
      <c r="H893" s="2" t="n"/>
      <c r="I893" s="3" t="n"/>
      <c r="J893" s="2" t="n"/>
      <c r="K893" s="2" t="n"/>
      <c r="L893" s="2" t="n"/>
      <c r="M893" s="2" t="n"/>
      <c r="N893" s="2" t="n"/>
      <c r="O893" s="2" t="n"/>
      <c r="P893" s="2" t="n"/>
      <c r="Q893" s="4">
        <f>IF(OR(A893="",E893=""),"",IF(MAXIFS($E$2:$E$1001,$A$2:$A$1001,A893,$E$2:$E$1001,"&lt;"&amp;E893)=0,"",SUMIFS($G$2:$G$1001,$A$2:$A$1001,A893,$E$2:$E$1001,MAXIFS($E$2:$E$1001,$A$2:$A$1001,A893,$E$2:$E$1001,"&lt;"&amp;E893))))</f>
        <v/>
      </c>
      <c r="R893" s="9">
        <f>IF(OR(Q893="",G893=""),"",G893-Q893)</f>
        <v/>
      </c>
      <c r="S893" s="9">
        <f>IF(R893="","",SUMIFS($R$2:$R$1001,$A$2:$A$1001,A893,$E$2:$E$1001,"&lt;="&amp;E893))</f>
        <v/>
      </c>
      <c r="T893" s="5">
        <f>IF(A893="","",IF(R893="","initial",IF(ABS(R893)&lt;=ShiftThresholdDays,"unchanged",IF(R893&gt;0,"delayed","accelerated"))))</f>
        <v/>
      </c>
    </row>
    <row r="894">
      <c r="A894" s="2" t="n"/>
      <c r="B894" s="2" t="n"/>
      <c r="C894" s="2" t="n"/>
      <c r="D894" s="2" t="n"/>
      <c r="E894" s="2" t="n"/>
      <c r="F894" s="2" t="n"/>
      <c r="G894" s="3" t="n"/>
      <c r="H894" s="2" t="n"/>
      <c r="I894" s="3" t="n"/>
      <c r="J894" s="2" t="n"/>
      <c r="K894" s="2" t="n"/>
      <c r="L894" s="2" t="n"/>
      <c r="M894" s="2" t="n"/>
      <c r="N894" s="2" t="n"/>
      <c r="O894" s="2" t="n"/>
      <c r="P894" s="2" t="n"/>
      <c r="Q894" s="4">
        <f>IF(OR(A894="",E894=""),"",IF(MAXIFS($E$2:$E$1001,$A$2:$A$1001,A894,$E$2:$E$1001,"&lt;"&amp;E894)=0,"",SUMIFS($G$2:$G$1001,$A$2:$A$1001,A894,$E$2:$E$1001,MAXIFS($E$2:$E$1001,$A$2:$A$1001,A894,$E$2:$E$1001,"&lt;"&amp;E894))))</f>
        <v/>
      </c>
      <c r="R894" s="9">
        <f>IF(OR(Q894="",G894=""),"",G894-Q894)</f>
        <v/>
      </c>
      <c r="S894" s="9">
        <f>IF(R894="","",SUMIFS($R$2:$R$1001,$A$2:$A$1001,A894,$E$2:$E$1001,"&lt;="&amp;E894))</f>
        <v/>
      </c>
      <c r="T894" s="5">
        <f>IF(A894="","",IF(R894="","initial",IF(ABS(R894)&lt;=ShiftThresholdDays,"unchanged",IF(R894&gt;0,"delayed","accelerated"))))</f>
        <v/>
      </c>
    </row>
    <row r="895">
      <c r="A895" s="2" t="n"/>
      <c r="B895" s="2" t="n"/>
      <c r="C895" s="2" t="n"/>
      <c r="D895" s="2" t="n"/>
      <c r="E895" s="2" t="n"/>
      <c r="F895" s="2" t="n"/>
      <c r="G895" s="3" t="n"/>
      <c r="H895" s="2" t="n"/>
      <c r="I895" s="3" t="n"/>
      <c r="J895" s="2" t="n"/>
      <c r="K895" s="2" t="n"/>
      <c r="L895" s="2" t="n"/>
      <c r="M895" s="2" t="n"/>
      <c r="N895" s="2" t="n"/>
      <c r="O895" s="2" t="n"/>
      <c r="P895" s="2" t="n"/>
      <c r="Q895" s="4">
        <f>IF(OR(A895="",E895=""),"",IF(MAXIFS($E$2:$E$1001,$A$2:$A$1001,A895,$E$2:$E$1001,"&lt;"&amp;E895)=0,"",SUMIFS($G$2:$G$1001,$A$2:$A$1001,A895,$E$2:$E$1001,MAXIFS($E$2:$E$1001,$A$2:$A$1001,A895,$E$2:$E$1001,"&lt;"&amp;E895))))</f>
        <v/>
      </c>
      <c r="R895" s="9">
        <f>IF(OR(Q895="",G895=""),"",G895-Q895)</f>
        <v/>
      </c>
      <c r="S895" s="9">
        <f>IF(R895="","",SUMIFS($R$2:$R$1001,$A$2:$A$1001,A895,$E$2:$E$1001,"&lt;="&amp;E895))</f>
        <v/>
      </c>
      <c r="T895" s="5">
        <f>IF(A895="","",IF(R895="","initial",IF(ABS(R895)&lt;=ShiftThresholdDays,"unchanged",IF(R895&gt;0,"delayed","accelerated"))))</f>
        <v/>
      </c>
    </row>
    <row r="896">
      <c r="A896" s="2" t="n"/>
      <c r="B896" s="2" t="n"/>
      <c r="C896" s="2" t="n"/>
      <c r="D896" s="2" t="n"/>
      <c r="E896" s="2" t="n"/>
      <c r="F896" s="2" t="n"/>
      <c r="G896" s="3" t="n"/>
      <c r="H896" s="2" t="n"/>
      <c r="I896" s="3" t="n"/>
      <c r="J896" s="2" t="n"/>
      <c r="K896" s="2" t="n"/>
      <c r="L896" s="2" t="n"/>
      <c r="M896" s="2" t="n"/>
      <c r="N896" s="2" t="n"/>
      <c r="O896" s="2" t="n"/>
      <c r="P896" s="2" t="n"/>
      <c r="Q896" s="4">
        <f>IF(OR(A896="",E896=""),"",IF(MAXIFS($E$2:$E$1001,$A$2:$A$1001,A896,$E$2:$E$1001,"&lt;"&amp;E896)=0,"",SUMIFS($G$2:$G$1001,$A$2:$A$1001,A896,$E$2:$E$1001,MAXIFS($E$2:$E$1001,$A$2:$A$1001,A896,$E$2:$E$1001,"&lt;"&amp;E896))))</f>
        <v/>
      </c>
      <c r="R896" s="9">
        <f>IF(OR(Q896="",G896=""),"",G896-Q896)</f>
        <v/>
      </c>
      <c r="S896" s="9">
        <f>IF(R896="","",SUMIFS($R$2:$R$1001,$A$2:$A$1001,A896,$E$2:$E$1001,"&lt;="&amp;E896))</f>
        <v/>
      </c>
      <c r="T896" s="5">
        <f>IF(A896="","",IF(R896="","initial",IF(ABS(R896)&lt;=ShiftThresholdDays,"unchanged",IF(R896&gt;0,"delayed","accelerated"))))</f>
        <v/>
      </c>
    </row>
    <row r="897">
      <c r="A897" s="2" t="n"/>
      <c r="B897" s="2" t="n"/>
      <c r="C897" s="2" t="n"/>
      <c r="D897" s="2" t="n"/>
      <c r="E897" s="2" t="n"/>
      <c r="F897" s="2" t="n"/>
      <c r="G897" s="3" t="n"/>
      <c r="H897" s="2" t="n"/>
      <c r="I897" s="3" t="n"/>
      <c r="J897" s="2" t="n"/>
      <c r="K897" s="2" t="n"/>
      <c r="L897" s="2" t="n"/>
      <c r="M897" s="2" t="n"/>
      <c r="N897" s="2" t="n"/>
      <c r="O897" s="2" t="n"/>
      <c r="P897" s="2" t="n"/>
      <c r="Q897" s="4">
        <f>IF(OR(A897="",E897=""),"",IF(MAXIFS($E$2:$E$1001,$A$2:$A$1001,A897,$E$2:$E$1001,"&lt;"&amp;E897)=0,"",SUMIFS($G$2:$G$1001,$A$2:$A$1001,A897,$E$2:$E$1001,MAXIFS($E$2:$E$1001,$A$2:$A$1001,A897,$E$2:$E$1001,"&lt;"&amp;E897))))</f>
        <v/>
      </c>
      <c r="R897" s="9">
        <f>IF(OR(Q897="",G897=""),"",G897-Q897)</f>
        <v/>
      </c>
      <c r="S897" s="9">
        <f>IF(R897="","",SUMIFS($R$2:$R$1001,$A$2:$A$1001,A897,$E$2:$E$1001,"&lt;="&amp;E897))</f>
        <v/>
      </c>
      <c r="T897" s="5">
        <f>IF(A897="","",IF(R897="","initial",IF(ABS(R897)&lt;=ShiftThresholdDays,"unchanged",IF(R897&gt;0,"delayed","accelerated"))))</f>
        <v/>
      </c>
    </row>
    <row r="898">
      <c r="A898" s="2" t="n"/>
      <c r="B898" s="2" t="n"/>
      <c r="C898" s="2" t="n"/>
      <c r="D898" s="2" t="n"/>
      <c r="E898" s="2" t="n"/>
      <c r="F898" s="2" t="n"/>
      <c r="G898" s="3" t="n"/>
      <c r="H898" s="2" t="n"/>
      <c r="I898" s="3" t="n"/>
      <c r="J898" s="2" t="n"/>
      <c r="K898" s="2" t="n"/>
      <c r="L898" s="2" t="n"/>
      <c r="M898" s="2" t="n"/>
      <c r="N898" s="2" t="n"/>
      <c r="O898" s="2" t="n"/>
      <c r="P898" s="2" t="n"/>
      <c r="Q898" s="4">
        <f>IF(OR(A898="",E898=""),"",IF(MAXIFS($E$2:$E$1001,$A$2:$A$1001,A898,$E$2:$E$1001,"&lt;"&amp;E898)=0,"",SUMIFS($G$2:$G$1001,$A$2:$A$1001,A898,$E$2:$E$1001,MAXIFS($E$2:$E$1001,$A$2:$A$1001,A898,$E$2:$E$1001,"&lt;"&amp;E898))))</f>
        <v/>
      </c>
      <c r="R898" s="9">
        <f>IF(OR(Q898="",G898=""),"",G898-Q898)</f>
        <v/>
      </c>
      <c r="S898" s="9">
        <f>IF(R898="","",SUMIFS($R$2:$R$1001,$A$2:$A$1001,A898,$E$2:$E$1001,"&lt;="&amp;E898))</f>
        <v/>
      </c>
      <c r="T898" s="5">
        <f>IF(A898="","",IF(R898="","initial",IF(ABS(R898)&lt;=ShiftThresholdDays,"unchanged",IF(R898&gt;0,"delayed","accelerated"))))</f>
        <v/>
      </c>
    </row>
    <row r="899">
      <c r="A899" s="2" t="n"/>
      <c r="B899" s="2" t="n"/>
      <c r="C899" s="2" t="n"/>
      <c r="D899" s="2" t="n"/>
      <c r="E899" s="2" t="n"/>
      <c r="F899" s="2" t="n"/>
      <c r="G899" s="3" t="n"/>
      <c r="H899" s="2" t="n"/>
      <c r="I899" s="3" t="n"/>
      <c r="J899" s="2" t="n"/>
      <c r="K899" s="2" t="n"/>
      <c r="L899" s="2" t="n"/>
      <c r="M899" s="2" t="n"/>
      <c r="N899" s="2" t="n"/>
      <c r="O899" s="2" t="n"/>
      <c r="P899" s="2" t="n"/>
      <c r="Q899" s="4">
        <f>IF(OR(A899="",E899=""),"",IF(MAXIFS($E$2:$E$1001,$A$2:$A$1001,A899,$E$2:$E$1001,"&lt;"&amp;E899)=0,"",SUMIFS($G$2:$G$1001,$A$2:$A$1001,A899,$E$2:$E$1001,MAXIFS($E$2:$E$1001,$A$2:$A$1001,A899,$E$2:$E$1001,"&lt;"&amp;E899))))</f>
        <v/>
      </c>
      <c r="R899" s="9">
        <f>IF(OR(Q899="",G899=""),"",G899-Q899)</f>
        <v/>
      </c>
      <c r="S899" s="9">
        <f>IF(R899="","",SUMIFS($R$2:$R$1001,$A$2:$A$1001,A899,$E$2:$E$1001,"&lt;="&amp;E899))</f>
        <v/>
      </c>
      <c r="T899" s="5">
        <f>IF(A899="","",IF(R899="","initial",IF(ABS(R899)&lt;=ShiftThresholdDays,"unchanged",IF(R899&gt;0,"delayed","accelerated"))))</f>
        <v/>
      </c>
    </row>
    <row r="900">
      <c r="A900" s="2" t="n"/>
      <c r="B900" s="2" t="n"/>
      <c r="C900" s="2" t="n"/>
      <c r="D900" s="2" t="n"/>
      <c r="E900" s="2" t="n"/>
      <c r="F900" s="2" t="n"/>
      <c r="G900" s="3" t="n"/>
      <c r="H900" s="2" t="n"/>
      <c r="I900" s="3" t="n"/>
      <c r="J900" s="2" t="n"/>
      <c r="K900" s="2" t="n"/>
      <c r="L900" s="2" t="n"/>
      <c r="M900" s="2" t="n"/>
      <c r="N900" s="2" t="n"/>
      <c r="O900" s="2" t="n"/>
      <c r="P900" s="2" t="n"/>
      <c r="Q900" s="4">
        <f>IF(OR(A900="",E900=""),"",IF(MAXIFS($E$2:$E$1001,$A$2:$A$1001,A900,$E$2:$E$1001,"&lt;"&amp;E900)=0,"",SUMIFS($G$2:$G$1001,$A$2:$A$1001,A900,$E$2:$E$1001,MAXIFS($E$2:$E$1001,$A$2:$A$1001,A900,$E$2:$E$1001,"&lt;"&amp;E900))))</f>
        <v/>
      </c>
      <c r="R900" s="9">
        <f>IF(OR(Q900="",G900=""),"",G900-Q900)</f>
        <v/>
      </c>
      <c r="S900" s="9">
        <f>IF(R900="","",SUMIFS($R$2:$R$1001,$A$2:$A$1001,A900,$E$2:$E$1001,"&lt;="&amp;E900))</f>
        <v/>
      </c>
      <c r="T900" s="5">
        <f>IF(A900="","",IF(R900="","initial",IF(ABS(R900)&lt;=ShiftThresholdDays,"unchanged",IF(R900&gt;0,"delayed","accelerated"))))</f>
        <v/>
      </c>
    </row>
    <row r="901">
      <c r="A901" s="2" t="n"/>
      <c r="B901" s="2" t="n"/>
      <c r="C901" s="2" t="n"/>
      <c r="D901" s="2" t="n"/>
      <c r="E901" s="2" t="n"/>
      <c r="F901" s="2" t="n"/>
      <c r="G901" s="3" t="n"/>
      <c r="H901" s="2" t="n"/>
      <c r="I901" s="3" t="n"/>
      <c r="J901" s="2" t="n"/>
      <c r="K901" s="2" t="n"/>
      <c r="L901" s="2" t="n"/>
      <c r="M901" s="2" t="n"/>
      <c r="N901" s="2" t="n"/>
      <c r="O901" s="2" t="n"/>
      <c r="P901" s="2" t="n"/>
      <c r="Q901" s="4">
        <f>IF(OR(A901="",E901=""),"",IF(MAXIFS($E$2:$E$1001,$A$2:$A$1001,A901,$E$2:$E$1001,"&lt;"&amp;E901)=0,"",SUMIFS($G$2:$G$1001,$A$2:$A$1001,A901,$E$2:$E$1001,MAXIFS($E$2:$E$1001,$A$2:$A$1001,A901,$E$2:$E$1001,"&lt;"&amp;E901))))</f>
        <v/>
      </c>
      <c r="R901" s="9">
        <f>IF(OR(Q901="",G901=""),"",G901-Q901)</f>
        <v/>
      </c>
      <c r="S901" s="9">
        <f>IF(R901="","",SUMIFS($R$2:$R$1001,$A$2:$A$1001,A901,$E$2:$E$1001,"&lt;="&amp;E901))</f>
        <v/>
      </c>
      <c r="T901" s="5">
        <f>IF(A901="","",IF(R901="","initial",IF(ABS(R901)&lt;=ShiftThresholdDays,"unchanged",IF(R901&gt;0,"delayed","accelerated"))))</f>
        <v/>
      </c>
    </row>
    <row r="902">
      <c r="A902" s="2" t="n"/>
      <c r="B902" s="2" t="n"/>
      <c r="C902" s="2" t="n"/>
      <c r="D902" s="2" t="n"/>
      <c r="E902" s="2" t="n"/>
      <c r="F902" s="2" t="n"/>
      <c r="G902" s="3" t="n"/>
      <c r="H902" s="2" t="n"/>
      <c r="I902" s="3" t="n"/>
      <c r="J902" s="2" t="n"/>
      <c r="K902" s="2" t="n"/>
      <c r="L902" s="2" t="n"/>
      <c r="M902" s="2" t="n"/>
      <c r="N902" s="2" t="n"/>
      <c r="O902" s="2" t="n"/>
      <c r="P902" s="2" t="n"/>
      <c r="Q902" s="4">
        <f>IF(OR(A902="",E902=""),"",IF(MAXIFS($E$2:$E$1001,$A$2:$A$1001,A902,$E$2:$E$1001,"&lt;"&amp;E902)=0,"",SUMIFS($G$2:$G$1001,$A$2:$A$1001,A902,$E$2:$E$1001,MAXIFS($E$2:$E$1001,$A$2:$A$1001,A902,$E$2:$E$1001,"&lt;"&amp;E902))))</f>
        <v/>
      </c>
      <c r="R902" s="9">
        <f>IF(OR(Q902="",G902=""),"",G902-Q902)</f>
        <v/>
      </c>
      <c r="S902" s="9">
        <f>IF(R902="","",SUMIFS($R$2:$R$1001,$A$2:$A$1001,A902,$E$2:$E$1001,"&lt;="&amp;E902))</f>
        <v/>
      </c>
      <c r="T902" s="5">
        <f>IF(A902="","",IF(R902="","initial",IF(ABS(R902)&lt;=ShiftThresholdDays,"unchanged",IF(R902&gt;0,"delayed","accelerated"))))</f>
        <v/>
      </c>
    </row>
    <row r="903">
      <c r="A903" s="2" t="n"/>
      <c r="B903" s="2" t="n"/>
      <c r="C903" s="2" t="n"/>
      <c r="D903" s="2" t="n"/>
      <c r="E903" s="2" t="n"/>
      <c r="F903" s="2" t="n"/>
      <c r="G903" s="3" t="n"/>
      <c r="H903" s="2" t="n"/>
      <c r="I903" s="3" t="n"/>
      <c r="J903" s="2" t="n"/>
      <c r="K903" s="2" t="n"/>
      <c r="L903" s="2" t="n"/>
      <c r="M903" s="2" t="n"/>
      <c r="N903" s="2" t="n"/>
      <c r="O903" s="2" t="n"/>
      <c r="P903" s="2" t="n"/>
      <c r="Q903" s="4">
        <f>IF(OR(A903="",E903=""),"",IF(MAXIFS($E$2:$E$1001,$A$2:$A$1001,A903,$E$2:$E$1001,"&lt;"&amp;E903)=0,"",SUMIFS($G$2:$G$1001,$A$2:$A$1001,A903,$E$2:$E$1001,MAXIFS($E$2:$E$1001,$A$2:$A$1001,A903,$E$2:$E$1001,"&lt;"&amp;E903))))</f>
        <v/>
      </c>
      <c r="R903" s="9">
        <f>IF(OR(Q903="",G903=""),"",G903-Q903)</f>
        <v/>
      </c>
      <c r="S903" s="9">
        <f>IF(R903="","",SUMIFS($R$2:$R$1001,$A$2:$A$1001,A903,$E$2:$E$1001,"&lt;="&amp;E903))</f>
        <v/>
      </c>
      <c r="T903" s="5">
        <f>IF(A903="","",IF(R903="","initial",IF(ABS(R903)&lt;=ShiftThresholdDays,"unchanged",IF(R903&gt;0,"delayed","accelerated"))))</f>
        <v/>
      </c>
    </row>
    <row r="904">
      <c r="A904" s="2" t="n"/>
      <c r="B904" s="2" t="n"/>
      <c r="C904" s="2" t="n"/>
      <c r="D904" s="2" t="n"/>
      <c r="E904" s="2" t="n"/>
      <c r="F904" s="2" t="n"/>
      <c r="G904" s="3" t="n"/>
      <c r="H904" s="2" t="n"/>
      <c r="I904" s="3" t="n"/>
      <c r="J904" s="2" t="n"/>
      <c r="K904" s="2" t="n"/>
      <c r="L904" s="2" t="n"/>
      <c r="M904" s="2" t="n"/>
      <c r="N904" s="2" t="n"/>
      <c r="O904" s="2" t="n"/>
      <c r="P904" s="2" t="n"/>
      <c r="Q904" s="4">
        <f>IF(OR(A904="",E904=""),"",IF(MAXIFS($E$2:$E$1001,$A$2:$A$1001,A904,$E$2:$E$1001,"&lt;"&amp;E904)=0,"",SUMIFS($G$2:$G$1001,$A$2:$A$1001,A904,$E$2:$E$1001,MAXIFS($E$2:$E$1001,$A$2:$A$1001,A904,$E$2:$E$1001,"&lt;"&amp;E904))))</f>
        <v/>
      </c>
      <c r="R904" s="9">
        <f>IF(OR(Q904="",G904=""),"",G904-Q904)</f>
        <v/>
      </c>
      <c r="S904" s="9">
        <f>IF(R904="","",SUMIFS($R$2:$R$1001,$A$2:$A$1001,A904,$E$2:$E$1001,"&lt;="&amp;E904))</f>
        <v/>
      </c>
      <c r="T904" s="5">
        <f>IF(A904="","",IF(R904="","initial",IF(ABS(R904)&lt;=ShiftThresholdDays,"unchanged",IF(R904&gt;0,"delayed","accelerated"))))</f>
        <v/>
      </c>
    </row>
    <row r="905">
      <c r="A905" s="2" t="n"/>
      <c r="B905" s="2" t="n"/>
      <c r="C905" s="2" t="n"/>
      <c r="D905" s="2" t="n"/>
      <c r="E905" s="2" t="n"/>
      <c r="F905" s="2" t="n"/>
      <c r="G905" s="3" t="n"/>
      <c r="H905" s="2" t="n"/>
      <c r="I905" s="3" t="n"/>
      <c r="J905" s="2" t="n"/>
      <c r="K905" s="2" t="n"/>
      <c r="L905" s="2" t="n"/>
      <c r="M905" s="2" t="n"/>
      <c r="N905" s="2" t="n"/>
      <c r="O905" s="2" t="n"/>
      <c r="P905" s="2" t="n"/>
      <c r="Q905" s="4">
        <f>IF(OR(A905="",E905=""),"",IF(MAXIFS($E$2:$E$1001,$A$2:$A$1001,A905,$E$2:$E$1001,"&lt;"&amp;E905)=0,"",SUMIFS($G$2:$G$1001,$A$2:$A$1001,A905,$E$2:$E$1001,MAXIFS($E$2:$E$1001,$A$2:$A$1001,A905,$E$2:$E$1001,"&lt;"&amp;E905))))</f>
        <v/>
      </c>
      <c r="R905" s="9">
        <f>IF(OR(Q905="",G905=""),"",G905-Q905)</f>
        <v/>
      </c>
      <c r="S905" s="9">
        <f>IF(R905="","",SUMIFS($R$2:$R$1001,$A$2:$A$1001,A905,$E$2:$E$1001,"&lt;="&amp;E905))</f>
        <v/>
      </c>
      <c r="T905" s="5">
        <f>IF(A905="","",IF(R905="","initial",IF(ABS(R905)&lt;=ShiftThresholdDays,"unchanged",IF(R905&gt;0,"delayed","accelerated"))))</f>
        <v/>
      </c>
    </row>
    <row r="906">
      <c r="A906" s="2" t="n"/>
      <c r="B906" s="2" t="n"/>
      <c r="C906" s="2" t="n"/>
      <c r="D906" s="2" t="n"/>
      <c r="E906" s="2" t="n"/>
      <c r="F906" s="2" t="n"/>
      <c r="G906" s="3" t="n"/>
      <c r="H906" s="2" t="n"/>
      <c r="I906" s="3" t="n"/>
      <c r="J906" s="2" t="n"/>
      <c r="K906" s="2" t="n"/>
      <c r="L906" s="2" t="n"/>
      <c r="M906" s="2" t="n"/>
      <c r="N906" s="2" t="n"/>
      <c r="O906" s="2" t="n"/>
      <c r="P906" s="2" t="n"/>
      <c r="Q906" s="4">
        <f>IF(OR(A906="",E906=""),"",IF(MAXIFS($E$2:$E$1001,$A$2:$A$1001,A906,$E$2:$E$1001,"&lt;"&amp;E906)=0,"",SUMIFS($G$2:$G$1001,$A$2:$A$1001,A906,$E$2:$E$1001,MAXIFS($E$2:$E$1001,$A$2:$A$1001,A906,$E$2:$E$1001,"&lt;"&amp;E906))))</f>
        <v/>
      </c>
      <c r="R906" s="9">
        <f>IF(OR(Q906="",G906=""),"",G906-Q906)</f>
        <v/>
      </c>
      <c r="S906" s="9">
        <f>IF(R906="","",SUMIFS($R$2:$R$1001,$A$2:$A$1001,A906,$E$2:$E$1001,"&lt;="&amp;E906))</f>
        <v/>
      </c>
      <c r="T906" s="5">
        <f>IF(A906="","",IF(R906="","initial",IF(ABS(R906)&lt;=ShiftThresholdDays,"unchanged",IF(R906&gt;0,"delayed","accelerated"))))</f>
        <v/>
      </c>
    </row>
    <row r="907">
      <c r="A907" s="2" t="n"/>
      <c r="B907" s="2" t="n"/>
      <c r="C907" s="2" t="n"/>
      <c r="D907" s="2" t="n"/>
      <c r="E907" s="2" t="n"/>
      <c r="F907" s="2" t="n"/>
      <c r="G907" s="3" t="n"/>
      <c r="H907" s="2" t="n"/>
      <c r="I907" s="3" t="n"/>
      <c r="J907" s="2" t="n"/>
      <c r="K907" s="2" t="n"/>
      <c r="L907" s="2" t="n"/>
      <c r="M907" s="2" t="n"/>
      <c r="N907" s="2" t="n"/>
      <c r="O907" s="2" t="n"/>
      <c r="P907" s="2" t="n"/>
      <c r="Q907" s="4">
        <f>IF(OR(A907="",E907=""),"",IF(MAXIFS($E$2:$E$1001,$A$2:$A$1001,A907,$E$2:$E$1001,"&lt;"&amp;E907)=0,"",SUMIFS($G$2:$G$1001,$A$2:$A$1001,A907,$E$2:$E$1001,MAXIFS($E$2:$E$1001,$A$2:$A$1001,A907,$E$2:$E$1001,"&lt;"&amp;E907))))</f>
        <v/>
      </c>
      <c r="R907" s="9">
        <f>IF(OR(Q907="",G907=""),"",G907-Q907)</f>
        <v/>
      </c>
      <c r="S907" s="9">
        <f>IF(R907="","",SUMIFS($R$2:$R$1001,$A$2:$A$1001,A907,$E$2:$E$1001,"&lt;="&amp;E907))</f>
        <v/>
      </c>
      <c r="T907" s="5">
        <f>IF(A907="","",IF(R907="","initial",IF(ABS(R907)&lt;=ShiftThresholdDays,"unchanged",IF(R907&gt;0,"delayed","accelerated"))))</f>
        <v/>
      </c>
    </row>
    <row r="908">
      <c r="A908" s="2" t="n"/>
      <c r="B908" s="2" t="n"/>
      <c r="C908" s="2" t="n"/>
      <c r="D908" s="2" t="n"/>
      <c r="E908" s="2" t="n"/>
      <c r="F908" s="2" t="n"/>
      <c r="G908" s="3" t="n"/>
      <c r="H908" s="2" t="n"/>
      <c r="I908" s="3" t="n"/>
      <c r="J908" s="2" t="n"/>
      <c r="K908" s="2" t="n"/>
      <c r="L908" s="2" t="n"/>
      <c r="M908" s="2" t="n"/>
      <c r="N908" s="2" t="n"/>
      <c r="O908" s="2" t="n"/>
      <c r="P908" s="2" t="n"/>
      <c r="Q908" s="4">
        <f>IF(OR(A908="",E908=""),"",IF(MAXIFS($E$2:$E$1001,$A$2:$A$1001,A908,$E$2:$E$1001,"&lt;"&amp;E908)=0,"",SUMIFS($G$2:$G$1001,$A$2:$A$1001,A908,$E$2:$E$1001,MAXIFS($E$2:$E$1001,$A$2:$A$1001,A908,$E$2:$E$1001,"&lt;"&amp;E908))))</f>
        <v/>
      </c>
      <c r="R908" s="9">
        <f>IF(OR(Q908="",G908=""),"",G908-Q908)</f>
        <v/>
      </c>
      <c r="S908" s="9">
        <f>IF(R908="","",SUMIFS($R$2:$R$1001,$A$2:$A$1001,A908,$E$2:$E$1001,"&lt;="&amp;E908))</f>
        <v/>
      </c>
      <c r="T908" s="5">
        <f>IF(A908="","",IF(R908="","initial",IF(ABS(R908)&lt;=ShiftThresholdDays,"unchanged",IF(R908&gt;0,"delayed","accelerated"))))</f>
        <v/>
      </c>
    </row>
    <row r="909">
      <c r="A909" s="2" t="n"/>
      <c r="B909" s="2" t="n"/>
      <c r="C909" s="2" t="n"/>
      <c r="D909" s="2" t="n"/>
      <c r="E909" s="2" t="n"/>
      <c r="F909" s="2" t="n"/>
      <c r="G909" s="3" t="n"/>
      <c r="H909" s="2" t="n"/>
      <c r="I909" s="3" t="n"/>
      <c r="J909" s="2" t="n"/>
      <c r="K909" s="2" t="n"/>
      <c r="L909" s="2" t="n"/>
      <c r="M909" s="2" t="n"/>
      <c r="N909" s="2" t="n"/>
      <c r="O909" s="2" t="n"/>
      <c r="P909" s="2" t="n"/>
      <c r="Q909" s="4">
        <f>IF(OR(A909="",E909=""),"",IF(MAXIFS($E$2:$E$1001,$A$2:$A$1001,A909,$E$2:$E$1001,"&lt;"&amp;E909)=0,"",SUMIFS($G$2:$G$1001,$A$2:$A$1001,A909,$E$2:$E$1001,MAXIFS($E$2:$E$1001,$A$2:$A$1001,A909,$E$2:$E$1001,"&lt;"&amp;E909))))</f>
        <v/>
      </c>
      <c r="R909" s="9">
        <f>IF(OR(Q909="",G909=""),"",G909-Q909)</f>
        <v/>
      </c>
      <c r="S909" s="9">
        <f>IF(R909="","",SUMIFS($R$2:$R$1001,$A$2:$A$1001,A909,$E$2:$E$1001,"&lt;="&amp;E909))</f>
        <v/>
      </c>
      <c r="T909" s="5">
        <f>IF(A909="","",IF(R909="","initial",IF(ABS(R909)&lt;=ShiftThresholdDays,"unchanged",IF(R909&gt;0,"delayed","accelerated"))))</f>
        <v/>
      </c>
    </row>
    <row r="910">
      <c r="A910" s="2" t="n"/>
      <c r="B910" s="2" t="n"/>
      <c r="C910" s="2" t="n"/>
      <c r="D910" s="2" t="n"/>
      <c r="E910" s="2" t="n"/>
      <c r="F910" s="2" t="n"/>
      <c r="G910" s="3" t="n"/>
      <c r="H910" s="2" t="n"/>
      <c r="I910" s="3" t="n"/>
      <c r="J910" s="2" t="n"/>
      <c r="K910" s="2" t="n"/>
      <c r="L910" s="2" t="n"/>
      <c r="M910" s="2" t="n"/>
      <c r="N910" s="2" t="n"/>
      <c r="O910" s="2" t="n"/>
      <c r="P910" s="2" t="n"/>
      <c r="Q910" s="4">
        <f>IF(OR(A910="",E910=""),"",IF(MAXIFS($E$2:$E$1001,$A$2:$A$1001,A910,$E$2:$E$1001,"&lt;"&amp;E910)=0,"",SUMIFS($G$2:$G$1001,$A$2:$A$1001,A910,$E$2:$E$1001,MAXIFS($E$2:$E$1001,$A$2:$A$1001,A910,$E$2:$E$1001,"&lt;"&amp;E910))))</f>
        <v/>
      </c>
      <c r="R910" s="9">
        <f>IF(OR(Q910="",G910=""),"",G910-Q910)</f>
        <v/>
      </c>
      <c r="S910" s="9">
        <f>IF(R910="","",SUMIFS($R$2:$R$1001,$A$2:$A$1001,A910,$E$2:$E$1001,"&lt;="&amp;E910))</f>
        <v/>
      </c>
      <c r="T910" s="5">
        <f>IF(A910="","",IF(R910="","initial",IF(ABS(R910)&lt;=ShiftThresholdDays,"unchanged",IF(R910&gt;0,"delayed","accelerated"))))</f>
        <v/>
      </c>
    </row>
    <row r="911">
      <c r="A911" s="2" t="n"/>
      <c r="B911" s="2" t="n"/>
      <c r="C911" s="2" t="n"/>
      <c r="D911" s="2" t="n"/>
      <c r="E911" s="2" t="n"/>
      <c r="F911" s="2" t="n"/>
      <c r="G911" s="3" t="n"/>
      <c r="H911" s="2" t="n"/>
      <c r="I911" s="3" t="n"/>
      <c r="J911" s="2" t="n"/>
      <c r="K911" s="2" t="n"/>
      <c r="L911" s="2" t="n"/>
      <c r="M911" s="2" t="n"/>
      <c r="N911" s="2" t="n"/>
      <c r="O911" s="2" t="n"/>
      <c r="P911" s="2" t="n"/>
      <c r="Q911" s="4">
        <f>IF(OR(A911="",E911=""),"",IF(MAXIFS($E$2:$E$1001,$A$2:$A$1001,A911,$E$2:$E$1001,"&lt;"&amp;E911)=0,"",SUMIFS($G$2:$G$1001,$A$2:$A$1001,A911,$E$2:$E$1001,MAXIFS($E$2:$E$1001,$A$2:$A$1001,A911,$E$2:$E$1001,"&lt;"&amp;E911))))</f>
        <v/>
      </c>
      <c r="R911" s="9">
        <f>IF(OR(Q911="",G911=""),"",G911-Q911)</f>
        <v/>
      </c>
      <c r="S911" s="9">
        <f>IF(R911="","",SUMIFS($R$2:$R$1001,$A$2:$A$1001,A911,$E$2:$E$1001,"&lt;="&amp;E911))</f>
        <v/>
      </c>
      <c r="T911" s="5">
        <f>IF(A911="","",IF(R911="","initial",IF(ABS(R911)&lt;=ShiftThresholdDays,"unchanged",IF(R911&gt;0,"delayed","accelerated"))))</f>
        <v/>
      </c>
    </row>
    <row r="912">
      <c r="A912" s="2" t="n"/>
      <c r="B912" s="2" t="n"/>
      <c r="C912" s="2" t="n"/>
      <c r="D912" s="2" t="n"/>
      <c r="E912" s="2" t="n"/>
      <c r="F912" s="2" t="n"/>
      <c r="G912" s="3" t="n"/>
      <c r="H912" s="2" t="n"/>
      <c r="I912" s="3" t="n"/>
      <c r="J912" s="2" t="n"/>
      <c r="K912" s="2" t="n"/>
      <c r="L912" s="2" t="n"/>
      <c r="M912" s="2" t="n"/>
      <c r="N912" s="2" t="n"/>
      <c r="O912" s="2" t="n"/>
      <c r="P912" s="2" t="n"/>
      <c r="Q912" s="4">
        <f>IF(OR(A912="",E912=""),"",IF(MAXIFS($E$2:$E$1001,$A$2:$A$1001,A912,$E$2:$E$1001,"&lt;"&amp;E912)=0,"",SUMIFS($G$2:$G$1001,$A$2:$A$1001,A912,$E$2:$E$1001,MAXIFS($E$2:$E$1001,$A$2:$A$1001,A912,$E$2:$E$1001,"&lt;"&amp;E912))))</f>
        <v/>
      </c>
      <c r="R912" s="9">
        <f>IF(OR(Q912="",G912=""),"",G912-Q912)</f>
        <v/>
      </c>
      <c r="S912" s="9">
        <f>IF(R912="","",SUMIFS($R$2:$R$1001,$A$2:$A$1001,A912,$E$2:$E$1001,"&lt;="&amp;E912))</f>
        <v/>
      </c>
      <c r="T912" s="5">
        <f>IF(A912="","",IF(R912="","initial",IF(ABS(R912)&lt;=ShiftThresholdDays,"unchanged",IF(R912&gt;0,"delayed","accelerated"))))</f>
        <v/>
      </c>
    </row>
    <row r="913">
      <c r="A913" s="2" t="n"/>
      <c r="B913" s="2" t="n"/>
      <c r="C913" s="2" t="n"/>
      <c r="D913" s="2" t="n"/>
      <c r="E913" s="2" t="n"/>
      <c r="F913" s="2" t="n"/>
      <c r="G913" s="3" t="n"/>
      <c r="H913" s="2" t="n"/>
      <c r="I913" s="3" t="n"/>
      <c r="J913" s="2" t="n"/>
      <c r="K913" s="2" t="n"/>
      <c r="L913" s="2" t="n"/>
      <c r="M913" s="2" t="n"/>
      <c r="N913" s="2" t="n"/>
      <c r="O913" s="2" t="n"/>
      <c r="P913" s="2" t="n"/>
      <c r="Q913" s="4">
        <f>IF(OR(A913="",E913=""),"",IF(MAXIFS($E$2:$E$1001,$A$2:$A$1001,A913,$E$2:$E$1001,"&lt;"&amp;E913)=0,"",SUMIFS($G$2:$G$1001,$A$2:$A$1001,A913,$E$2:$E$1001,MAXIFS($E$2:$E$1001,$A$2:$A$1001,A913,$E$2:$E$1001,"&lt;"&amp;E913))))</f>
        <v/>
      </c>
      <c r="R913" s="9">
        <f>IF(OR(Q913="",G913=""),"",G913-Q913)</f>
        <v/>
      </c>
      <c r="S913" s="9">
        <f>IF(R913="","",SUMIFS($R$2:$R$1001,$A$2:$A$1001,A913,$E$2:$E$1001,"&lt;="&amp;E913))</f>
        <v/>
      </c>
      <c r="T913" s="5">
        <f>IF(A913="","",IF(R913="","initial",IF(ABS(R913)&lt;=ShiftThresholdDays,"unchanged",IF(R913&gt;0,"delayed","accelerated"))))</f>
        <v/>
      </c>
    </row>
    <row r="914">
      <c r="A914" s="2" t="n"/>
      <c r="B914" s="2" t="n"/>
      <c r="C914" s="2" t="n"/>
      <c r="D914" s="2" t="n"/>
      <c r="E914" s="2" t="n"/>
      <c r="F914" s="2" t="n"/>
      <c r="G914" s="3" t="n"/>
      <c r="H914" s="2" t="n"/>
      <c r="I914" s="3" t="n"/>
      <c r="J914" s="2" t="n"/>
      <c r="K914" s="2" t="n"/>
      <c r="L914" s="2" t="n"/>
      <c r="M914" s="2" t="n"/>
      <c r="N914" s="2" t="n"/>
      <c r="O914" s="2" t="n"/>
      <c r="P914" s="2" t="n"/>
      <c r="Q914" s="4">
        <f>IF(OR(A914="",E914=""),"",IF(MAXIFS($E$2:$E$1001,$A$2:$A$1001,A914,$E$2:$E$1001,"&lt;"&amp;E914)=0,"",SUMIFS($G$2:$G$1001,$A$2:$A$1001,A914,$E$2:$E$1001,MAXIFS($E$2:$E$1001,$A$2:$A$1001,A914,$E$2:$E$1001,"&lt;"&amp;E914))))</f>
        <v/>
      </c>
      <c r="R914" s="9">
        <f>IF(OR(Q914="",G914=""),"",G914-Q914)</f>
        <v/>
      </c>
      <c r="S914" s="9">
        <f>IF(R914="","",SUMIFS($R$2:$R$1001,$A$2:$A$1001,A914,$E$2:$E$1001,"&lt;="&amp;E914))</f>
        <v/>
      </c>
      <c r="T914" s="5">
        <f>IF(A914="","",IF(R914="","initial",IF(ABS(R914)&lt;=ShiftThresholdDays,"unchanged",IF(R914&gt;0,"delayed","accelerated"))))</f>
        <v/>
      </c>
    </row>
    <row r="915">
      <c r="A915" s="2" t="n"/>
      <c r="B915" s="2" t="n"/>
      <c r="C915" s="2" t="n"/>
      <c r="D915" s="2" t="n"/>
      <c r="E915" s="2" t="n"/>
      <c r="F915" s="2" t="n"/>
      <c r="G915" s="3" t="n"/>
      <c r="H915" s="2" t="n"/>
      <c r="I915" s="3" t="n"/>
      <c r="J915" s="2" t="n"/>
      <c r="K915" s="2" t="n"/>
      <c r="L915" s="2" t="n"/>
      <c r="M915" s="2" t="n"/>
      <c r="N915" s="2" t="n"/>
      <c r="O915" s="2" t="n"/>
      <c r="P915" s="2" t="n"/>
      <c r="Q915" s="4">
        <f>IF(OR(A915="",E915=""),"",IF(MAXIFS($E$2:$E$1001,$A$2:$A$1001,A915,$E$2:$E$1001,"&lt;"&amp;E915)=0,"",SUMIFS($G$2:$G$1001,$A$2:$A$1001,A915,$E$2:$E$1001,MAXIFS($E$2:$E$1001,$A$2:$A$1001,A915,$E$2:$E$1001,"&lt;"&amp;E915))))</f>
        <v/>
      </c>
      <c r="R915" s="9">
        <f>IF(OR(Q915="",G915=""),"",G915-Q915)</f>
        <v/>
      </c>
      <c r="S915" s="9">
        <f>IF(R915="","",SUMIFS($R$2:$R$1001,$A$2:$A$1001,A915,$E$2:$E$1001,"&lt;="&amp;E915))</f>
        <v/>
      </c>
      <c r="T915" s="5">
        <f>IF(A915="","",IF(R915="","initial",IF(ABS(R915)&lt;=ShiftThresholdDays,"unchanged",IF(R915&gt;0,"delayed","accelerated"))))</f>
        <v/>
      </c>
    </row>
    <row r="916">
      <c r="A916" s="2" t="n"/>
      <c r="B916" s="2" t="n"/>
      <c r="C916" s="2" t="n"/>
      <c r="D916" s="2" t="n"/>
      <c r="E916" s="2" t="n"/>
      <c r="F916" s="2" t="n"/>
      <c r="G916" s="3" t="n"/>
      <c r="H916" s="2" t="n"/>
      <c r="I916" s="3" t="n"/>
      <c r="J916" s="2" t="n"/>
      <c r="K916" s="2" t="n"/>
      <c r="L916" s="2" t="n"/>
      <c r="M916" s="2" t="n"/>
      <c r="N916" s="2" t="n"/>
      <c r="O916" s="2" t="n"/>
      <c r="P916" s="2" t="n"/>
      <c r="Q916" s="4">
        <f>IF(OR(A916="",E916=""),"",IF(MAXIFS($E$2:$E$1001,$A$2:$A$1001,A916,$E$2:$E$1001,"&lt;"&amp;E916)=0,"",SUMIFS($G$2:$G$1001,$A$2:$A$1001,A916,$E$2:$E$1001,MAXIFS($E$2:$E$1001,$A$2:$A$1001,A916,$E$2:$E$1001,"&lt;"&amp;E916))))</f>
        <v/>
      </c>
      <c r="R916" s="9">
        <f>IF(OR(Q916="",G916=""),"",G916-Q916)</f>
        <v/>
      </c>
      <c r="S916" s="9">
        <f>IF(R916="","",SUMIFS($R$2:$R$1001,$A$2:$A$1001,A916,$E$2:$E$1001,"&lt;="&amp;E916))</f>
        <v/>
      </c>
      <c r="T916" s="5">
        <f>IF(A916="","",IF(R916="","initial",IF(ABS(R916)&lt;=ShiftThresholdDays,"unchanged",IF(R916&gt;0,"delayed","accelerated"))))</f>
        <v/>
      </c>
    </row>
    <row r="917">
      <c r="A917" s="2" t="n"/>
      <c r="B917" s="2" t="n"/>
      <c r="C917" s="2" t="n"/>
      <c r="D917" s="2" t="n"/>
      <c r="E917" s="2" t="n"/>
      <c r="F917" s="2" t="n"/>
      <c r="G917" s="3" t="n"/>
      <c r="H917" s="2" t="n"/>
      <c r="I917" s="3" t="n"/>
      <c r="J917" s="2" t="n"/>
      <c r="K917" s="2" t="n"/>
      <c r="L917" s="2" t="n"/>
      <c r="M917" s="2" t="n"/>
      <c r="N917" s="2" t="n"/>
      <c r="O917" s="2" t="n"/>
      <c r="P917" s="2" t="n"/>
      <c r="Q917" s="4">
        <f>IF(OR(A917="",E917=""),"",IF(MAXIFS($E$2:$E$1001,$A$2:$A$1001,A917,$E$2:$E$1001,"&lt;"&amp;E917)=0,"",SUMIFS($G$2:$G$1001,$A$2:$A$1001,A917,$E$2:$E$1001,MAXIFS($E$2:$E$1001,$A$2:$A$1001,A917,$E$2:$E$1001,"&lt;"&amp;E917))))</f>
        <v/>
      </c>
      <c r="R917" s="9">
        <f>IF(OR(Q917="",G917=""),"",G917-Q917)</f>
        <v/>
      </c>
      <c r="S917" s="9">
        <f>IF(R917="","",SUMIFS($R$2:$R$1001,$A$2:$A$1001,A917,$E$2:$E$1001,"&lt;="&amp;E917))</f>
        <v/>
      </c>
      <c r="T917" s="5">
        <f>IF(A917="","",IF(R917="","initial",IF(ABS(R917)&lt;=ShiftThresholdDays,"unchanged",IF(R917&gt;0,"delayed","accelerated"))))</f>
        <v/>
      </c>
    </row>
    <row r="918">
      <c r="A918" s="2" t="n"/>
      <c r="B918" s="2" t="n"/>
      <c r="C918" s="2" t="n"/>
      <c r="D918" s="2" t="n"/>
      <c r="E918" s="2" t="n"/>
      <c r="F918" s="2" t="n"/>
      <c r="G918" s="3" t="n"/>
      <c r="H918" s="2" t="n"/>
      <c r="I918" s="3" t="n"/>
      <c r="J918" s="2" t="n"/>
      <c r="K918" s="2" t="n"/>
      <c r="L918" s="2" t="n"/>
      <c r="M918" s="2" t="n"/>
      <c r="N918" s="2" t="n"/>
      <c r="O918" s="2" t="n"/>
      <c r="P918" s="2" t="n"/>
      <c r="Q918" s="4">
        <f>IF(OR(A918="",E918=""),"",IF(MAXIFS($E$2:$E$1001,$A$2:$A$1001,A918,$E$2:$E$1001,"&lt;"&amp;E918)=0,"",SUMIFS($G$2:$G$1001,$A$2:$A$1001,A918,$E$2:$E$1001,MAXIFS($E$2:$E$1001,$A$2:$A$1001,A918,$E$2:$E$1001,"&lt;"&amp;E918))))</f>
        <v/>
      </c>
      <c r="R918" s="9">
        <f>IF(OR(Q918="",G918=""),"",G918-Q918)</f>
        <v/>
      </c>
      <c r="S918" s="9">
        <f>IF(R918="","",SUMIFS($R$2:$R$1001,$A$2:$A$1001,A918,$E$2:$E$1001,"&lt;="&amp;E918))</f>
        <v/>
      </c>
      <c r="T918" s="5">
        <f>IF(A918="","",IF(R918="","initial",IF(ABS(R918)&lt;=ShiftThresholdDays,"unchanged",IF(R918&gt;0,"delayed","accelerated"))))</f>
        <v/>
      </c>
    </row>
    <row r="919">
      <c r="A919" s="2" t="n"/>
      <c r="B919" s="2" t="n"/>
      <c r="C919" s="2" t="n"/>
      <c r="D919" s="2" t="n"/>
      <c r="E919" s="2" t="n"/>
      <c r="F919" s="2" t="n"/>
      <c r="G919" s="3" t="n"/>
      <c r="H919" s="2" t="n"/>
      <c r="I919" s="3" t="n"/>
      <c r="J919" s="2" t="n"/>
      <c r="K919" s="2" t="n"/>
      <c r="L919" s="2" t="n"/>
      <c r="M919" s="2" t="n"/>
      <c r="N919" s="2" t="n"/>
      <c r="O919" s="2" t="n"/>
      <c r="P919" s="2" t="n"/>
      <c r="Q919" s="4">
        <f>IF(OR(A919="",E919=""),"",IF(MAXIFS($E$2:$E$1001,$A$2:$A$1001,A919,$E$2:$E$1001,"&lt;"&amp;E919)=0,"",SUMIFS($G$2:$G$1001,$A$2:$A$1001,A919,$E$2:$E$1001,MAXIFS($E$2:$E$1001,$A$2:$A$1001,A919,$E$2:$E$1001,"&lt;"&amp;E919))))</f>
        <v/>
      </c>
      <c r="R919" s="9">
        <f>IF(OR(Q919="",G919=""),"",G919-Q919)</f>
        <v/>
      </c>
      <c r="S919" s="9">
        <f>IF(R919="","",SUMIFS($R$2:$R$1001,$A$2:$A$1001,A919,$E$2:$E$1001,"&lt;="&amp;E919))</f>
        <v/>
      </c>
      <c r="T919" s="5">
        <f>IF(A919="","",IF(R919="","initial",IF(ABS(R919)&lt;=ShiftThresholdDays,"unchanged",IF(R919&gt;0,"delayed","accelerated"))))</f>
        <v/>
      </c>
    </row>
    <row r="920">
      <c r="A920" s="2" t="n"/>
      <c r="B920" s="2" t="n"/>
      <c r="C920" s="2" t="n"/>
      <c r="D920" s="2" t="n"/>
      <c r="E920" s="2" t="n"/>
      <c r="F920" s="2" t="n"/>
      <c r="G920" s="3" t="n"/>
      <c r="H920" s="2" t="n"/>
      <c r="I920" s="3" t="n"/>
      <c r="J920" s="2" t="n"/>
      <c r="K920" s="2" t="n"/>
      <c r="L920" s="2" t="n"/>
      <c r="M920" s="2" t="n"/>
      <c r="N920" s="2" t="n"/>
      <c r="O920" s="2" t="n"/>
      <c r="P920" s="2" t="n"/>
      <c r="Q920" s="4">
        <f>IF(OR(A920="",E920=""),"",IF(MAXIFS($E$2:$E$1001,$A$2:$A$1001,A920,$E$2:$E$1001,"&lt;"&amp;E920)=0,"",SUMIFS($G$2:$G$1001,$A$2:$A$1001,A920,$E$2:$E$1001,MAXIFS($E$2:$E$1001,$A$2:$A$1001,A920,$E$2:$E$1001,"&lt;"&amp;E920))))</f>
        <v/>
      </c>
      <c r="R920" s="9">
        <f>IF(OR(Q920="",G920=""),"",G920-Q920)</f>
        <v/>
      </c>
      <c r="S920" s="9">
        <f>IF(R920="","",SUMIFS($R$2:$R$1001,$A$2:$A$1001,A920,$E$2:$E$1001,"&lt;="&amp;E920))</f>
        <v/>
      </c>
      <c r="T920" s="5">
        <f>IF(A920="","",IF(R920="","initial",IF(ABS(R920)&lt;=ShiftThresholdDays,"unchanged",IF(R920&gt;0,"delayed","accelerated"))))</f>
        <v/>
      </c>
    </row>
    <row r="921">
      <c r="A921" s="2" t="n"/>
      <c r="B921" s="2" t="n"/>
      <c r="C921" s="2" t="n"/>
      <c r="D921" s="2" t="n"/>
      <c r="E921" s="2" t="n"/>
      <c r="F921" s="2" t="n"/>
      <c r="G921" s="3" t="n"/>
      <c r="H921" s="2" t="n"/>
      <c r="I921" s="3" t="n"/>
      <c r="J921" s="2" t="n"/>
      <c r="K921" s="2" t="n"/>
      <c r="L921" s="2" t="n"/>
      <c r="M921" s="2" t="n"/>
      <c r="N921" s="2" t="n"/>
      <c r="O921" s="2" t="n"/>
      <c r="P921" s="2" t="n"/>
      <c r="Q921" s="4">
        <f>IF(OR(A921="",E921=""),"",IF(MAXIFS($E$2:$E$1001,$A$2:$A$1001,A921,$E$2:$E$1001,"&lt;"&amp;E921)=0,"",SUMIFS($G$2:$G$1001,$A$2:$A$1001,A921,$E$2:$E$1001,MAXIFS($E$2:$E$1001,$A$2:$A$1001,A921,$E$2:$E$1001,"&lt;"&amp;E921))))</f>
        <v/>
      </c>
      <c r="R921" s="9">
        <f>IF(OR(Q921="",G921=""),"",G921-Q921)</f>
        <v/>
      </c>
      <c r="S921" s="9">
        <f>IF(R921="","",SUMIFS($R$2:$R$1001,$A$2:$A$1001,A921,$E$2:$E$1001,"&lt;="&amp;E921))</f>
        <v/>
      </c>
      <c r="T921" s="5">
        <f>IF(A921="","",IF(R921="","initial",IF(ABS(R921)&lt;=ShiftThresholdDays,"unchanged",IF(R921&gt;0,"delayed","accelerated"))))</f>
        <v/>
      </c>
    </row>
    <row r="922">
      <c r="A922" s="2" t="n"/>
      <c r="B922" s="2" t="n"/>
      <c r="C922" s="2" t="n"/>
      <c r="D922" s="2" t="n"/>
      <c r="E922" s="2" t="n"/>
      <c r="F922" s="2" t="n"/>
      <c r="G922" s="3" t="n"/>
      <c r="H922" s="2" t="n"/>
      <c r="I922" s="3" t="n"/>
      <c r="J922" s="2" t="n"/>
      <c r="K922" s="2" t="n"/>
      <c r="L922" s="2" t="n"/>
      <c r="M922" s="2" t="n"/>
      <c r="N922" s="2" t="n"/>
      <c r="O922" s="2" t="n"/>
      <c r="P922" s="2" t="n"/>
      <c r="Q922" s="4">
        <f>IF(OR(A922="",E922=""),"",IF(MAXIFS($E$2:$E$1001,$A$2:$A$1001,A922,$E$2:$E$1001,"&lt;"&amp;E922)=0,"",SUMIFS($G$2:$G$1001,$A$2:$A$1001,A922,$E$2:$E$1001,MAXIFS($E$2:$E$1001,$A$2:$A$1001,A922,$E$2:$E$1001,"&lt;"&amp;E922))))</f>
        <v/>
      </c>
      <c r="R922" s="9">
        <f>IF(OR(Q922="",G922=""),"",G922-Q922)</f>
        <v/>
      </c>
      <c r="S922" s="9">
        <f>IF(R922="","",SUMIFS($R$2:$R$1001,$A$2:$A$1001,A922,$E$2:$E$1001,"&lt;="&amp;E922))</f>
        <v/>
      </c>
      <c r="T922" s="5">
        <f>IF(A922="","",IF(R922="","initial",IF(ABS(R922)&lt;=ShiftThresholdDays,"unchanged",IF(R922&gt;0,"delayed","accelerated"))))</f>
        <v/>
      </c>
    </row>
    <row r="923">
      <c r="A923" s="2" t="n"/>
      <c r="B923" s="2" t="n"/>
      <c r="C923" s="2" t="n"/>
      <c r="D923" s="2" t="n"/>
      <c r="E923" s="2" t="n"/>
      <c r="F923" s="2" t="n"/>
      <c r="G923" s="3" t="n"/>
      <c r="H923" s="2" t="n"/>
      <c r="I923" s="3" t="n"/>
      <c r="J923" s="2" t="n"/>
      <c r="K923" s="2" t="n"/>
      <c r="L923" s="2" t="n"/>
      <c r="M923" s="2" t="n"/>
      <c r="N923" s="2" t="n"/>
      <c r="O923" s="2" t="n"/>
      <c r="P923" s="2" t="n"/>
      <c r="Q923" s="4">
        <f>IF(OR(A923="",E923=""),"",IF(MAXIFS($E$2:$E$1001,$A$2:$A$1001,A923,$E$2:$E$1001,"&lt;"&amp;E923)=0,"",SUMIFS($G$2:$G$1001,$A$2:$A$1001,A923,$E$2:$E$1001,MAXIFS($E$2:$E$1001,$A$2:$A$1001,A923,$E$2:$E$1001,"&lt;"&amp;E923))))</f>
        <v/>
      </c>
      <c r="R923" s="9">
        <f>IF(OR(Q923="",G923=""),"",G923-Q923)</f>
        <v/>
      </c>
      <c r="S923" s="9">
        <f>IF(R923="","",SUMIFS($R$2:$R$1001,$A$2:$A$1001,A923,$E$2:$E$1001,"&lt;="&amp;E923))</f>
        <v/>
      </c>
      <c r="T923" s="5">
        <f>IF(A923="","",IF(R923="","initial",IF(ABS(R923)&lt;=ShiftThresholdDays,"unchanged",IF(R923&gt;0,"delayed","accelerated"))))</f>
        <v/>
      </c>
    </row>
    <row r="924">
      <c r="A924" s="2" t="n"/>
      <c r="B924" s="2" t="n"/>
      <c r="C924" s="2" t="n"/>
      <c r="D924" s="2" t="n"/>
      <c r="E924" s="2" t="n"/>
      <c r="F924" s="2" t="n"/>
      <c r="G924" s="3" t="n"/>
      <c r="H924" s="2" t="n"/>
      <c r="I924" s="3" t="n"/>
      <c r="J924" s="2" t="n"/>
      <c r="K924" s="2" t="n"/>
      <c r="L924" s="2" t="n"/>
      <c r="M924" s="2" t="n"/>
      <c r="N924" s="2" t="n"/>
      <c r="O924" s="2" t="n"/>
      <c r="P924" s="2" t="n"/>
      <c r="Q924" s="4">
        <f>IF(OR(A924="",E924=""),"",IF(MAXIFS($E$2:$E$1001,$A$2:$A$1001,A924,$E$2:$E$1001,"&lt;"&amp;E924)=0,"",SUMIFS($G$2:$G$1001,$A$2:$A$1001,A924,$E$2:$E$1001,MAXIFS($E$2:$E$1001,$A$2:$A$1001,A924,$E$2:$E$1001,"&lt;"&amp;E924))))</f>
        <v/>
      </c>
      <c r="R924" s="9">
        <f>IF(OR(Q924="",G924=""),"",G924-Q924)</f>
        <v/>
      </c>
      <c r="S924" s="9">
        <f>IF(R924="","",SUMIFS($R$2:$R$1001,$A$2:$A$1001,A924,$E$2:$E$1001,"&lt;="&amp;E924))</f>
        <v/>
      </c>
      <c r="T924" s="5">
        <f>IF(A924="","",IF(R924="","initial",IF(ABS(R924)&lt;=ShiftThresholdDays,"unchanged",IF(R924&gt;0,"delayed","accelerated"))))</f>
        <v/>
      </c>
    </row>
    <row r="925">
      <c r="A925" s="2" t="n"/>
      <c r="B925" s="2" t="n"/>
      <c r="C925" s="2" t="n"/>
      <c r="D925" s="2" t="n"/>
      <c r="E925" s="2" t="n"/>
      <c r="F925" s="2" t="n"/>
      <c r="G925" s="3" t="n"/>
      <c r="H925" s="2" t="n"/>
      <c r="I925" s="3" t="n"/>
      <c r="J925" s="2" t="n"/>
      <c r="K925" s="2" t="n"/>
      <c r="L925" s="2" t="n"/>
      <c r="M925" s="2" t="n"/>
      <c r="N925" s="2" t="n"/>
      <c r="O925" s="2" t="n"/>
      <c r="P925" s="2" t="n"/>
      <c r="Q925" s="4">
        <f>IF(OR(A925="",E925=""),"",IF(MAXIFS($E$2:$E$1001,$A$2:$A$1001,A925,$E$2:$E$1001,"&lt;"&amp;E925)=0,"",SUMIFS($G$2:$G$1001,$A$2:$A$1001,A925,$E$2:$E$1001,MAXIFS($E$2:$E$1001,$A$2:$A$1001,A925,$E$2:$E$1001,"&lt;"&amp;E925))))</f>
        <v/>
      </c>
      <c r="R925" s="9">
        <f>IF(OR(Q925="",G925=""),"",G925-Q925)</f>
        <v/>
      </c>
      <c r="S925" s="9">
        <f>IF(R925="","",SUMIFS($R$2:$R$1001,$A$2:$A$1001,A925,$E$2:$E$1001,"&lt;="&amp;E925))</f>
        <v/>
      </c>
      <c r="T925" s="5">
        <f>IF(A925="","",IF(R925="","initial",IF(ABS(R925)&lt;=ShiftThresholdDays,"unchanged",IF(R925&gt;0,"delayed","accelerated"))))</f>
        <v/>
      </c>
    </row>
    <row r="926">
      <c r="A926" s="2" t="n"/>
      <c r="B926" s="2" t="n"/>
      <c r="C926" s="2" t="n"/>
      <c r="D926" s="2" t="n"/>
      <c r="E926" s="2" t="n"/>
      <c r="F926" s="2" t="n"/>
      <c r="G926" s="3" t="n"/>
      <c r="H926" s="2" t="n"/>
      <c r="I926" s="3" t="n"/>
      <c r="J926" s="2" t="n"/>
      <c r="K926" s="2" t="n"/>
      <c r="L926" s="2" t="n"/>
      <c r="M926" s="2" t="n"/>
      <c r="N926" s="2" t="n"/>
      <c r="O926" s="2" t="n"/>
      <c r="P926" s="2" t="n"/>
      <c r="Q926" s="4">
        <f>IF(OR(A926="",E926=""),"",IF(MAXIFS($E$2:$E$1001,$A$2:$A$1001,A926,$E$2:$E$1001,"&lt;"&amp;E926)=0,"",SUMIFS($G$2:$G$1001,$A$2:$A$1001,A926,$E$2:$E$1001,MAXIFS($E$2:$E$1001,$A$2:$A$1001,A926,$E$2:$E$1001,"&lt;"&amp;E926))))</f>
        <v/>
      </c>
      <c r="R926" s="9">
        <f>IF(OR(Q926="",G926=""),"",G926-Q926)</f>
        <v/>
      </c>
      <c r="S926" s="9">
        <f>IF(R926="","",SUMIFS($R$2:$R$1001,$A$2:$A$1001,A926,$E$2:$E$1001,"&lt;="&amp;E926))</f>
        <v/>
      </c>
      <c r="T926" s="5">
        <f>IF(A926="","",IF(R926="","initial",IF(ABS(R926)&lt;=ShiftThresholdDays,"unchanged",IF(R926&gt;0,"delayed","accelerated"))))</f>
        <v/>
      </c>
    </row>
    <row r="927">
      <c r="A927" s="2" t="n"/>
      <c r="B927" s="2" t="n"/>
      <c r="C927" s="2" t="n"/>
      <c r="D927" s="2" t="n"/>
      <c r="E927" s="2" t="n"/>
      <c r="F927" s="2" t="n"/>
      <c r="G927" s="3" t="n"/>
      <c r="H927" s="2" t="n"/>
      <c r="I927" s="3" t="n"/>
      <c r="J927" s="2" t="n"/>
      <c r="K927" s="2" t="n"/>
      <c r="L927" s="2" t="n"/>
      <c r="M927" s="2" t="n"/>
      <c r="N927" s="2" t="n"/>
      <c r="O927" s="2" t="n"/>
      <c r="P927" s="2" t="n"/>
      <c r="Q927" s="4">
        <f>IF(OR(A927="",E927=""),"",IF(MAXIFS($E$2:$E$1001,$A$2:$A$1001,A927,$E$2:$E$1001,"&lt;"&amp;E927)=0,"",SUMIFS($G$2:$G$1001,$A$2:$A$1001,A927,$E$2:$E$1001,MAXIFS($E$2:$E$1001,$A$2:$A$1001,A927,$E$2:$E$1001,"&lt;"&amp;E927))))</f>
        <v/>
      </c>
      <c r="R927" s="9">
        <f>IF(OR(Q927="",G927=""),"",G927-Q927)</f>
        <v/>
      </c>
      <c r="S927" s="9">
        <f>IF(R927="","",SUMIFS($R$2:$R$1001,$A$2:$A$1001,A927,$E$2:$E$1001,"&lt;="&amp;E927))</f>
        <v/>
      </c>
      <c r="T927" s="5">
        <f>IF(A927="","",IF(R927="","initial",IF(ABS(R927)&lt;=ShiftThresholdDays,"unchanged",IF(R927&gt;0,"delayed","accelerated"))))</f>
        <v/>
      </c>
    </row>
    <row r="928">
      <c r="A928" s="2" t="n"/>
      <c r="B928" s="2" t="n"/>
      <c r="C928" s="2" t="n"/>
      <c r="D928" s="2" t="n"/>
      <c r="E928" s="2" t="n"/>
      <c r="F928" s="2" t="n"/>
      <c r="G928" s="3" t="n"/>
      <c r="H928" s="2" t="n"/>
      <c r="I928" s="3" t="n"/>
      <c r="J928" s="2" t="n"/>
      <c r="K928" s="2" t="n"/>
      <c r="L928" s="2" t="n"/>
      <c r="M928" s="2" t="n"/>
      <c r="N928" s="2" t="n"/>
      <c r="O928" s="2" t="n"/>
      <c r="P928" s="2" t="n"/>
      <c r="Q928" s="4">
        <f>IF(OR(A928="",E928=""),"",IF(MAXIFS($E$2:$E$1001,$A$2:$A$1001,A928,$E$2:$E$1001,"&lt;"&amp;E928)=0,"",SUMIFS($G$2:$G$1001,$A$2:$A$1001,A928,$E$2:$E$1001,MAXIFS($E$2:$E$1001,$A$2:$A$1001,A928,$E$2:$E$1001,"&lt;"&amp;E928))))</f>
        <v/>
      </c>
      <c r="R928" s="9">
        <f>IF(OR(Q928="",G928=""),"",G928-Q928)</f>
        <v/>
      </c>
      <c r="S928" s="9">
        <f>IF(R928="","",SUMIFS($R$2:$R$1001,$A$2:$A$1001,A928,$E$2:$E$1001,"&lt;="&amp;E928))</f>
        <v/>
      </c>
      <c r="T928" s="5">
        <f>IF(A928="","",IF(R928="","initial",IF(ABS(R928)&lt;=ShiftThresholdDays,"unchanged",IF(R928&gt;0,"delayed","accelerated"))))</f>
        <v/>
      </c>
    </row>
    <row r="929">
      <c r="A929" s="2" t="n"/>
      <c r="B929" s="2" t="n"/>
      <c r="C929" s="2" t="n"/>
      <c r="D929" s="2" t="n"/>
      <c r="E929" s="2" t="n"/>
      <c r="F929" s="2" t="n"/>
      <c r="G929" s="3" t="n"/>
      <c r="H929" s="2" t="n"/>
      <c r="I929" s="3" t="n"/>
      <c r="J929" s="2" t="n"/>
      <c r="K929" s="2" t="n"/>
      <c r="L929" s="2" t="n"/>
      <c r="M929" s="2" t="n"/>
      <c r="N929" s="2" t="n"/>
      <c r="O929" s="2" t="n"/>
      <c r="P929" s="2" t="n"/>
      <c r="Q929" s="4">
        <f>IF(OR(A929="",E929=""),"",IF(MAXIFS($E$2:$E$1001,$A$2:$A$1001,A929,$E$2:$E$1001,"&lt;"&amp;E929)=0,"",SUMIFS($G$2:$G$1001,$A$2:$A$1001,A929,$E$2:$E$1001,MAXIFS($E$2:$E$1001,$A$2:$A$1001,A929,$E$2:$E$1001,"&lt;"&amp;E929))))</f>
        <v/>
      </c>
      <c r="R929" s="9">
        <f>IF(OR(Q929="",G929=""),"",G929-Q929)</f>
        <v/>
      </c>
      <c r="S929" s="9">
        <f>IF(R929="","",SUMIFS($R$2:$R$1001,$A$2:$A$1001,A929,$E$2:$E$1001,"&lt;="&amp;E929))</f>
        <v/>
      </c>
      <c r="T929" s="5">
        <f>IF(A929="","",IF(R929="","initial",IF(ABS(R929)&lt;=ShiftThresholdDays,"unchanged",IF(R929&gt;0,"delayed","accelerated"))))</f>
        <v/>
      </c>
    </row>
    <row r="930">
      <c r="A930" s="2" t="n"/>
      <c r="B930" s="2" t="n"/>
      <c r="C930" s="2" t="n"/>
      <c r="D930" s="2" t="n"/>
      <c r="E930" s="2" t="n"/>
      <c r="F930" s="2" t="n"/>
      <c r="G930" s="3" t="n"/>
      <c r="H930" s="2" t="n"/>
      <c r="I930" s="3" t="n"/>
      <c r="J930" s="2" t="n"/>
      <c r="K930" s="2" t="n"/>
      <c r="L930" s="2" t="n"/>
      <c r="M930" s="2" t="n"/>
      <c r="N930" s="2" t="n"/>
      <c r="O930" s="2" t="n"/>
      <c r="P930" s="2" t="n"/>
      <c r="Q930" s="4">
        <f>IF(OR(A930="",E930=""),"",IF(MAXIFS($E$2:$E$1001,$A$2:$A$1001,A930,$E$2:$E$1001,"&lt;"&amp;E930)=0,"",SUMIFS($G$2:$G$1001,$A$2:$A$1001,A930,$E$2:$E$1001,MAXIFS($E$2:$E$1001,$A$2:$A$1001,A930,$E$2:$E$1001,"&lt;"&amp;E930))))</f>
        <v/>
      </c>
      <c r="R930" s="9">
        <f>IF(OR(Q930="",G930=""),"",G930-Q930)</f>
        <v/>
      </c>
      <c r="S930" s="9">
        <f>IF(R930="","",SUMIFS($R$2:$R$1001,$A$2:$A$1001,A930,$E$2:$E$1001,"&lt;="&amp;E930))</f>
        <v/>
      </c>
      <c r="T930" s="5">
        <f>IF(A930="","",IF(R930="","initial",IF(ABS(R930)&lt;=ShiftThresholdDays,"unchanged",IF(R930&gt;0,"delayed","accelerated"))))</f>
        <v/>
      </c>
    </row>
    <row r="931">
      <c r="A931" s="2" t="n"/>
      <c r="B931" s="2" t="n"/>
      <c r="C931" s="2" t="n"/>
      <c r="D931" s="2" t="n"/>
      <c r="E931" s="2" t="n"/>
      <c r="F931" s="2" t="n"/>
      <c r="G931" s="3" t="n"/>
      <c r="H931" s="2" t="n"/>
      <c r="I931" s="3" t="n"/>
      <c r="J931" s="2" t="n"/>
      <c r="K931" s="2" t="n"/>
      <c r="L931" s="2" t="n"/>
      <c r="M931" s="2" t="n"/>
      <c r="N931" s="2" t="n"/>
      <c r="O931" s="2" t="n"/>
      <c r="P931" s="2" t="n"/>
      <c r="Q931" s="4">
        <f>IF(OR(A931="",E931=""),"",IF(MAXIFS($E$2:$E$1001,$A$2:$A$1001,A931,$E$2:$E$1001,"&lt;"&amp;E931)=0,"",SUMIFS($G$2:$G$1001,$A$2:$A$1001,A931,$E$2:$E$1001,MAXIFS($E$2:$E$1001,$A$2:$A$1001,A931,$E$2:$E$1001,"&lt;"&amp;E931))))</f>
        <v/>
      </c>
      <c r="R931" s="9">
        <f>IF(OR(Q931="",G931=""),"",G931-Q931)</f>
        <v/>
      </c>
      <c r="S931" s="9">
        <f>IF(R931="","",SUMIFS($R$2:$R$1001,$A$2:$A$1001,A931,$E$2:$E$1001,"&lt;="&amp;E931))</f>
        <v/>
      </c>
      <c r="T931" s="5">
        <f>IF(A931="","",IF(R931="","initial",IF(ABS(R931)&lt;=ShiftThresholdDays,"unchanged",IF(R931&gt;0,"delayed","accelerated"))))</f>
        <v/>
      </c>
    </row>
    <row r="932">
      <c r="A932" s="2" t="n"/>
      <c r="B932" s="2" t="n"/>
      <c r="C932" s="2" t="n"/>
      <c r="D932" s="2" t="n"/>
      <c r="E932" s="2" t="n"/>
      <c r="F932" s="2" t="n"/>
      <c r="G932" s="3" t="n"/>
      <c r="H932" s="2" t="n"/>
      <c r="I932" s="3" t="n"/>
      <c r="J932" s="2" t="n"/>
      <c r="K932" s="2" t="n"/>
      <c r="L932" s="2" t="n"/>
      <c r="M932" s="2" t="n"/>
      <c r="N932" s="2" t="n"/>
      <c r="O932" s="2" t="n"/>
      <c r="P932" s="2" t="n"/>
      <c r="Q932" s="4">
        <f>IF(OR(A932="",E932=""),"",IF(MAXIFS($E$2:$E$1001,$A$2:$A$1001,A932,$E$2:$E$1001,"&lt;"&amp;E932)=0,"",SUMIFS($G$2:$G$1001,$A$2:$A$1001,A932,$E$2:$E$1001,MAXIFS($E$2:$E$1001,$A$2:$A$1001,A932,$E$2:$E$1001,"&lt;"&amp;E932))))</f>
        <v/>
      </c>
      <c r="R932" s="9">
        <f>IF(OR(Q932="",G932=""),"",G932-Q932)</f>
        <v/>
      </c>
      <c r="S932" s="9">
        <f>IF(R932="","",SUMIFS($R$2:$R$1001,$A$2:$A$1001,A932,$E$2:$E$1001,"&lt;="&amp;E932))</f>
        <v/>
      </c>
      <c r="T932" s="5">
        <f>IF(A932="","",IF(R932="","initial",IF(ABS(R932)&lt;=ShiftThresholdDays,"unchanged",IF(R932&gt;0,"delayed","accelerated"))))</f>
        <v/>
      </c>
    </row>
    <row r="933">
      <c r="A933" s="2" t="n"/>
      <c r="B933" s="2" t="n"/>
      <c r="C933" s="2" t="n"/>
      <c r="D933" s="2" t="n"/>
      <c r="E933" s="2" t="n"/>
      <c r="F933" s="2" t="n"/>
      <c r="G933" s="3" t="n"/>
      <c r="H933" s="2" t="n"/>
      <c r="I933" s="3" t="n"/>
      <c r="J933" s="2" t="n"/>
      <c r="K933" s="2" t="n"/>
      <c r="L933" s="2" t="n"/>
      <c r="M933" s="2" t="n"/>
      <c r="N933" s="2" t="n"/>
      <c r="O933" s="2" t="n"/>
      <c r="P933" s="2" t="n"/>
      <c r="Q933" s="4">
        <f>IF(OR(A933="",E933=""),"",IF(MAXIFS($E$2:$E$1001,$A$2:$A$1001,A933,$E$2:$E$1001,"&lt;"&amp;E933)=0,"",SUMIFS($G$2:$G$1001,$A$2:$A$1001,A933,$E$2:$E$1001,MAXIFS($E$2:$E$1001,$A$2:$A$1001,A933,$E$2:$E$1001,"&lt;"&amp;E933))))</f>
        <v/>
      </c>
      <c r="R933" s="9">
        <f>IF(OR(Q933="",G933=""),"",G933-Q933)</f>
        <v/>
      </c>
      <c r="S933" s="9">
        <f>IF(R933="","",SUMIFS($R$2:$R$1001,$A$2:$A$1001,A933,$E$2:$E$1001,"&lt;="&amp;E933))</f>
        <v/>
      </c>
      <c r="T933" s="5">
        <f>IF(A933="","",IF(R933="","initial",IF(ABS(R933)&lt;=ShiftThresholdDays,"unchanged",IF(R933&gt;0,"delayed","accelerated"))))</f>
        <v/>
      </c>
    </row>
    <row r="934">
      <c r="A934" s="2" t="n"/>
      <c r="B934" s="2" t="n"/>
      <c r="C934" s="2" t="n"/>
      <c r="D934" s="2" t="n"/>
      <c r="E934" s="2" t="n"/>
      <c r="F934" s="2" t="n"/>
      <c r="G934" s="3" t="n"/>
      <c r="H934" s="2" t="n"/>
      <c r="I934" s="3" t="n"/>
      <c r="J934" s="2" t="n"/>
      <c r="K934" s="2" t="n"/>
      <c r="L934" s="2" t="n"/>
      <c r="M934" s="2" t="n"/>
      <c r="N934" s="2" t="n"/>
      <c r="O934" s="2" t="n"/>
      <c r="P934" s="2" t="n"/>
      <c r="Q934" s="4">
        <f>IF(OR(A934="",E934=""),"",IF(MAXIFS($E$2:$E$1001,$A$2:$A$1001,A934,$E$2:$E$1001,"&lt;"&amp;E934)=0,"",SUMIFS($G$2:$G$1001,$A$2:$A$1001,A934,$E$2:$E$1001,MAXIFS($E$2:$E$1001,$A$2:$A$1001,A934,$E$2:$E$1001,"&lt;"&amp;E934))))</f>
        <v/>
      </c>
      <c r="R934" s="9">
        <f>IF(OR(Q934="",G934=""),"",G934-Q934)</f>
        <v/>
      </c>
      <c r="S934" s="9">
        <f>IF(R934="","",SUMIFS($R$2:$R$1001,$A$2:$A$1001,A934,$E$2:$E$1001,"&lt;="&amp;E934))</f>
        <v/>
      </c>
      <c r="T934" s="5">
        <f>IF(A934="","",IF(R934="","initial",IF(ABS(R934)&lt;=ShiftThresholdDays,"unchanged",IF(R934&gt;0,"delayed","accelerated"))))</f>
        <v/>
      </c>
    </row>
    <row r="935">
      <c r="A935" s="2" t="n"/>
      <c r="B935" s="2" t="n"/>
      <c r="C935" s="2" t="n"/>
      <c r="D935" s="2" t="n"/>
      <c r="E935" s="2" t="n"/>
      <c r="F935" s="2" t="n"/>
      <c r="G935" s="3" t="n"/>
      <c r="H935" s="2" t="n"/>
      <c r="I935" s="3" t="n"/>
      <c r="J935" s="2" t="n"/>
      <c r="K935" s="2" t="n"/>
      <c r="L935" s="2" t="n"/>
      <c r="M935" s="2" t="n"/>
      <c r="N935" s="2" t="n"/>
      <c r="O935" s="2" t="n"/>
      <c r="P935" s="2" t="n"/>
      <c r="Q935" s="4">
        <f>IF(OR(A935="",E935=""),"",IF(MAXIFS($E$2:$E$1001,$A$2:$A$1001,A935,$E$2:$E$1001,"&lt;"&amp;E935)=0,"",SUMIFS($G$2:$G$1001,$A$2:$A$1001,A935,$E$2:$E$1001,MAXIFS($E$2:$E$1001,$A$2:$A$1001,A935,$E$2:$E$1001,"&lt;"&amp;E935))))</f>
        <v/>
      </c>
      <c r="R935" s="9">
        <f>IF(OR(Q935="",G935=""),"",G935-Q935)</f>
        <v/>
      </c>
      <c r="S935" s="9">
        <f>IF(R935="","",SUMIFS($R$2:$R$1001,$A$2:$A$1001,A935,$E$2:$E$1001,"&lt;="&amp;E935))</f>
        <v/>
      </c>
      <c r="T935" s="5">
        <f>IF(A935="","",IF(R935="","initial",IF(ABS(R935)&lt;=ShiftThresholdDays,"unchanged",IF(R935&gt;0,"delayed","accelerated"))))</f>
        <v/>
      </c>
    </row>
    <row r="936">
      <c r="A936" s="2" t="n"/>
      <c r="B936" s="2" t="n"/>
      <c r="C936" s="2" t="n"/>
      <c r="D936" s="2" t="n"/>
      <c r="E936" s="2" t="n"/>
      <c r="F936" s="2" t="n"/>
      <c r="G936" s="3" t="n"/>
      <c r="H936" s="2" t="n"/>
      <c r="I936" s="3" t="n"/>
      <c r="J936" s="2" t="n"/>
      <c r="K936" s="2" t="n"/>
      <c r="L936" s="2" t="n"/>
      <c r="M936" s="2" t="n"/>
      <c r="N936" s="2" t="n"/>
      <c r="O936" s="2" t="n"/>
      <c r="P936" s="2" t="n"/>
      <c r="Q936" s="4">
        <f>IF(OR(A936="",E936=""),"",IF(MAXIFS($E$2:$E$1001,$A$2:$A$1001,A936,$E$2:$E$1001,"&lt;"&amp;E936)=0,"",SUMIFS($G$2:$G$1001,$A$2:$A$1001,A936,$E$2:$E$1001,MAXIFS($E$2:$E$1001,$A$2:$A$1001,A936,$E$2:$E$1001,"&lt;"&amp;E936))))</f>
        <v/>
      </c>
      <c r="R936" s="9">
        <f>IF(OR(Q936="",G936=""),"",G936-Q936)</f>
        <v/>
      </c>
      <c r="S936" s="9">
        <f>IF(R936="","",SUMIFS($R$2:$R$1001,$A$2:$A$1001,A936,$E$2:$E$1001,"&lt;="&amp;E936))</f>
        <v/>
      </c>
      <c r="T936" s="5">
        <f>IF(A936="","",IF(R936="","initial",IF(ABS(R936)&lt;=ShiftThresholdDays,"unchanged",IF(R936&gt;0,"delayed","accelerated"))))</f>
        <v/>
      </c>
    </row>
    <row r="937">
      <c r="A937" s="2" t="n"/>
      <c r="B937" s="2" t="n"/>
      <c r="C937" s="2" t="n"/>
      <c r="D937" s="2" t="n"/>
      <c r="E937" s="2" t="n"/>
      <c r="F937" s="2" t="n"/>
      <c r="G937" s="3" t="n"/>
      <c r="H937" s="2" t="n"/>
      <c r="I937" s="3" t="n"/>
      <c r="J937" s="2" t="n"/>
      <c r="K937" s="2" t="n"/>
      <c r="L937" s="2" t="n"/>
      <c r="M937" s="2" t="n"/>
      <c r="N937" s="2" t="n"/>
      <c r="O937" s="2" t="n"/>
      <c r="P937" s="2" t="n"/>
      <c r="Q937" s="4">
        <f>IF(OR(A937="",E937=""),"",IF(MAXIFS($E$2:$E$1001,$A$2:$A$1001,A937,$E$2:$E$1001,"&lt;"&amp;E937)=0,"",SUMIFS($G$2:$G$1001,$A$2:$A$1001,A937,$E$2:$E$1001,MAXIFS($E$2:$E$1001,$A$2:$A$1001,A937,$E$2:$E$1001,"&lt;"&amp;E937))))</f>
        <v/>
      </c>
      <c r="R937" s="9">
        <f>IF(OR(Q937="",G937=""),"",G937-Q937)</f>
        <v/>
      </c>
      <c r="S937" s="9">
        <f>IF(R937="","",SUMIFS($R$2:$R$1001,$A$2:$A$1001,A937,$E$2:$E$1001,"&lt;="&amp;E937))</f>
        <v/>
      </c>
      <c r="T937" s="5">
        <f>IF(A937="","",IF(R937="","initial",IF(ABS(R937)&lt;=ShiftThresholdDays,"unchanged",IF(R937&gt;0,"delayed","accelerated"))))</f>
        <v/>
      </c>
    </row>
    <row r="938">
      <c r="A938" s="2" t="n"/>
      <c r="B938" s="2" t="n"/>
      <c r="C938" s="2" t="n"/>
      <c r="D938" s="2" t="n"/>
      <c r="E938" s="2" t="n"/>
      <c r="F938" s="2" t="n"/>
      <c r="G938" s="3" t="n"/>
      <c r="H938" s="2" t="n"/>
      <c r="I938" s="3" t="n"/>
      <c r="J938" s="2" t="n"/>
      <c r="K938" s="2" t="n"/>
      <c r="L938" s="2" t="n"/>
      <c r="M938" s="2" t="n"/>
      <c r="N938" s="2" t="n"/>
      <c r="O938" s="2" t="n"/>
      <c r="P938" s="2" t="n"/>
      <c r="Q938" s="4">
        <f>IF(OR(A938="",E938=""),"",IF(MAXIFS($E$2:$E$1001,$A$2:$A$1001,A938,$E$2:$E$1001,"&lt;"&amp;E938)=0,"",SUMIFS($G$2:$G$1001,$A$2:$A$1001,A938,$E$2:$E$1001,MAXIFS($E$2:$E$1001,$A$2:$A$1001,A938,$E$2:$E$1001,"&lt;"&amp;E938))))</f>
        <v/>
      </c>
      <c r="R938" s="9">
        <f>IF(OR(Q938="",G938=""),"",G938-Q938)</f>
        <v/>
      </c>
      <c r="S938" s="9">
        <f>IF(R938="","",SUMIFS($R$2:$R$1001,$A$2:$A$1001,A938,$E$2:$E$1001,"&lt;="&amp;E938))</f>
        <v/>
      </c>
      <c r="T938" s="5">
        <f>IF(A938="","",IF(R938="","initial",IF(ABS(R938)&lt;=ShiftThresholdDays,"unchanged",IF(R938&gt;0,"delayed","accelerated"))))</f>
        <v/>
      </c>
    </row>
    <row r="939">
      <c r="A939" s="2" t="n"/>
      <c r="B939" s="2" t="n"/>
      <c r="C939" s="2" t="n"/>
      <c r="D939" s="2" t="n"/>
      <c r="E939" s="2" t="n"/>
      <c r="F939" s="2" t="n"/>
      <c r="G939" s="3" t="n"/>
      <c r="H939" s="2" t="n"/>
      <c r="I939" s="3" t="n"/>
      <c r="J939" s="2" t="n"/>
      <c r="K939" s="2" t="n"/>
      <c r="L939" s="2" t="n"/>
      <c r="M939" s="2" t="n"/>
      <c r="N939" s="2" t="n"/>
      <c r="O939" s="2" t="n"/>
      <c r="P939" s="2" t="n"/>
      <c r="Q939" s="4">
        <f>IF(OR(A939="",E939=""),"",IF(MAXIFS($E$2:$E$1001,$A$2:$A$1001,A939,$E$2:$E$1001,"&lt;"&amp;E939)=0,"",SUMIFS($G$2:$G$1001,$A$2:$A$1001,A939,$E$2:$E$1001,MAXIFS($E$2:$E$1001,$A$2:$A$1001,A939,$E$2:$E$1001,"&lt;"&amp;E939))))</f>
        <v/>
      </c>
      <c r="R939" s="9">
        <f>IF(OR(Q939="",G939=""),"",G939-Q939)</f>
        <v/>
      </c>
      <c r="S939" s="9">
        <f>IF(R939="","",SUMIFS($R$2:$R$1001,$A$2:$A$1001,A939,$E$2:$E$1001,"&lt;="&amp;E939))</f>
        <v/>
      </c>
      <c r="T939" s="5">
        <f>IF(A939="","",IF(R939="","initial",IF(ABS(R939)&lt;=ShiftThresholdDays,"unchanged",IF(R939&gt;0,"delayed","accelerated"))))</f>
        <v/>
      </c>
    </row>
    <row r="940">
      <c r="A940" s="2" t="n"/>
      <c r="B940" s="2" t="n"/>
      <c r="C940" s="2" t="n"/>
      <c r="D940" s="2" t="n"/>
      <c r="E940" s="2" t="n"/>
      <c r="F940" s="2" t="n"/>
      <c r="G940" s="3" t="n"/>
      <c r="H940" s="2" t="n"/>
      <c r="I940" s="3" t="n"/>
      <c r="J940" s="2" t="n"/>
      <c r="K940" s="2" t="n"/>
      <c r="L940" s="2" t="n"/>
      <c r="M940" s="2" t="n"/>
      <c r="N940" s="2" t="n"/>
      <c r="O940" s="2" t="n"/>
      <c r="P940" s="2" t="n"/>
      <c r="Q940" s="4">
        <f>IF(OR(A940="",E940=""),"",IF(MAXIFS($E$2:$E$1001,$A$2:$A$1001,A940,$E$2:$E$1001,"&lt;"&amp;E940)=0,"",SUMIFS($G$2:$G$1001,$A$2:$A$1001,A940,$E$2:$E$1001,MAXIFS($E$2:$E$1001,$A$2:$A$1001,A940,$E$2:$E$1001,"&lt;"&amp;E940))))</f>
        <v/>
      </c>
      <c r="R940" s="9">
        <f>IF(OR(Q940="",G940=""),"",G940-Q940)</f>
        <v/>
      </c>
      <c r="S940" s="9">
        <f>IF(R940="","",SUMIFS($R$2:$R$1001,$A$2:$A$1001,A940,$E$2:$E$1001,"&lt;="&amp;E940))</f>
        <v/>
      </c>
      <c r="T940" s="5">
        <f>IF(A940="","",IF(R940="","initial",IF(ABS(R940)&lt;=ShiftThresholdDays,"unchanged",IF(R940&gt;0,"delayed","accelerated"))))</f>
        <v/>
      </c>
    </row>
    <row r="941">
      <c r="A941" s="2" t="n"/>
      <c r="B941" s="2" t="n"/>
      <c r="C941" s="2" t="n"/>
      <c r="D941" s="2" t="n"/>
      <c r="E941" s="2" t="n"/>
      <c r="F941" s="2" t="n"/>
      <c r="G941" s="3" t="n"/>
      <c r="H941" s="2" t="n"/>
      <c r="I941" s="3" t="n"/>
      <c r="J941" s="2" t="n"/>
      <c r="K941" s="2" t="n"/>
      <c r="L941" s="2" t="n"/>
      <c r="M941" s="2" t="n"/>
      <c r="N941" s="2" t="n"/>
      <c r="O941" s="2" t="n"/>
      <c r="P941" s="2" t="n"/>
      <c r="Q941" s="4">
        <f>IF(OR(A941="",E941=""),"",IF(MAXIFS($E$2:$E$1001,$A$2:$A$1001,A941,$E$2:$E$1001,"&lt;"&amp;E941)=0,"",SUMIFS($G$2:$G$1001,$A$2:$A$1001,A941,$E$2:$E$1001,MAXIFS($E$2:$E$1001,$A$2:$A$1001,A941,$E$2:$E$1001,"&lt;"&amp;E941))))</f>
        <v/>
      </c>
      <c r="R941" s="9">
        <f>IF(OR(Q941="",G941=""),"",G941-Q941)</f>
        <v/>
      </c>
      <c r="S941" s="9">
        <f>IF(R941="","",SUMIFS($R$2:$R$1001,$A$2:$A$1001,A941,$E$2:$E$1001,"&lt;="&amp;E941))</f>
        <v/>
      </c>
      <c r="T941" s="5">
        <f>IF(A941="","",IF(R941="","initial",IF(ABS(R941)&lt;=ShiftThresholdDays,"unchanged",IF(R941&gt;0,"delayed","accelerated"))))</f>
        <v/>
      </c>
    </row>
    <row r="942">
      <c r="A942" s="2" t="n"/>
      <c r="B942" s="2" t="n"/>
      <c r="C942" s="2" t="n"/>
      <c r="D942" s="2" t="n"/>
      <c r="E942" s="2" t="n"/>
      <c r="F942" s="2" t="n"/>
      <c r="G942" s="3" t="n"/>
      <c r="H942" s="2" t="n"/>
      <c r="I942" s="3" t="n"/>
      <c r="J942" s="2" t="n"/>
      <c r="K942" s="2" t="n"/>
      <c r="L942" s="2" t="n"/>
      <c r="M942" s="2" t="n"/>
      <c r="N942" s="2" t="n"/>
      <c r="O942" s="2" t="n"/>
      <c r="P942" s="2" t="n"/>
      <c r="Q942" s="4">
        <f>IF(OR(A942="",E942=""),"",IF(MAXIFS($E$2:$E$1001,$A$2:$A$1001,A942,$E$2:$E$1001,"&lt;"&amp;E942)=0,"",SUMIFS($G$2:$G$1001,$A$2:$A$1001,A942,$E$2:$E$1001,MAXIFS($E$2:$E$1001,$A$2:$A$1001,A942,$E$2:$E$1001,"&lt;"&amp;E942))))</f>
        <v/>
      </c>
      <c r="R942" s="9">
        <f>IF(OR(Q942="",G942=""),"",G942-Q942)</f>
        <v/>
      </c>
      <c r="S942" s="9">
        <f>IF(R942="","",SUMIFS($R$2:$R$1001,$A$2:$A$1001,A942,$E$2:$E$1001,"&lt;="&amp;E942))</f>
        <v/>
      </c>
      <c r="T942" s="5">
        <f>IF(A942="","",IF(R942="","initial",IF(ABS(R942)&lt;=ShiftThresholdDays,"unchanged",IF(R942&gt;0,"delayed","accelerated"))))</f>
        <v/>
      </c>
    </row>
    <row r="943">
      <c r="A943" s="2" t="n"/>
      <c r="B943" s="2" t="n"/>
      <c r="C943" s="2" t="n"/>
      <c r="D943" s="2" t="n"/>
      <c r="E943" s="2" t="n"/>
      <c r="F943" s="2" t="n"/>
      <c r="G943" s="3" t="n"/>
      <c r="H943" s="2" t="n"/>
      <c r="I943" s="3" t="n"/>
      <c r="J943" s="2" t="n"/>
      <c r="K943" s="2" t="n"/>
      <c r="L943" s="2" t="n"/>
      <c r="M943" s="2" t="n"/>
      <c r="N943" s="2" t="n"/>
      <c r="O943" s="2" t="n"/>
      <c r="P943" s="2" t="n"/>
      <c r="Q943" s="4">
        <f>IF(OR(A943="",E943=""),"",IF(MAXIFS($E$2:$E$1001,$A$2:$A$1001,A943,$E$2:$E$1001,"&lt;"&amp;E943)=0,"",SUMIFS($G$2:$G$1001,$A$2:$A$1001,A943,$E$2:$E$1001,MAXIFS($E$2:$E$1001,$A$2:$A$1001,A943,$E$2:$E$1001,"&lt;"&amp;E943))))</f>
        <v/>
      </c>
      <c r="R943" s="9">
        <f>IF(OR(Q943="",G943=""),"",G943-Q943)</f>
        <v/>
      </c>
      <c r="S943" s="9">
        <f>IF(R943="","",SUMIFS($R$2:$R$1001,$A$2:$A$1001,A943,$E$2:$E$1001,"&lt;="&amp;E943))</f>
        <v/>
      </c>
      <c r="T943" s="5">
        <f>IF(A943="","",IF(R943="","initial",IF(ABS(R943)&lt;=ShiftThresholdDays,"unchanged",IF(R943&gt;0,"delayed","accelerated"))))</f>
        <v/>
      </c>
    </row>
    <row r="944">
      <c r="A944" s="2" t="n"/>
      <c r="B944" s="2" t="n"/>
      <c r="C944" s="2" t="n"/>
      <c r="D944" s="2" t="n"/>
      <c r="E944" s="2" t="n"/>
      <c r="F944" s="2" t="n"/>
      <c r="G944" s="3" t="n"/>
      <c r="H944" s="2" t="n"/>
      <c r="I944" s="3" t="n"/>
      <c r="J944" s="2" t="n"/>
      <c r="K944" s="2" t="n"/>
      <c r="L944" s="2" t="n"/>
      <c r="M944" s="2" t="n"/>
      <c r="N944" s="2" t="n"/>
      <c r="O944" s="2" t="n"/>
      <c r="P944" s="2" t="n"/>
      <c r="Q944" s="4">
        <f>IF(OR(A944="",E944=""),"",IF(MAXIFS($E$2:$E$1001,$A$2:$A$1001,A944,$E$2:$E$1001,"&lt;"&amp;E944)=0,"",SUMIFS($G$2:$G$1001,$A$2:$A$1001,A944,$E$2:$E$1001,MAXIFS($E$2:$E$1001,$A$2:$A$1001,A944,$E$2:$E$1001,"&lt;"&amp;E944))))</f>
        <v/>
      </c>
      <c r="R944" s="9">
        <f>IF(OR(Q944="",G944=""),"",G944-Q944)</f>
        <v/>
      </c>
      <c r="S944" s="9">
        <f>IF(R944="","",SUMIFS($R$2:$R$1001,$A$2:$A$1001,A944,$E$2:$E$1001,"&lt;="&amp;E944))</f>
        <v/>
      </c>
      <c r="T944" s="5">
        <f>IF(A944="","",IF(R944="","initial",IF(ABS(R944)&lt;=ShiftThresholdDays,"unchanged",IF(R944&gt;0,"delayed","accelerated"))))</f>
        <v/>
      </c>
    </row>
    <row r="945">
      <c r="A945" s="2" t="n"/>
      <c r="B945" s="2" t="n"/>
      <c r="C945" s="2" t="n"/>
      <c r="D945" s="2" t="n"/>
      <c r="E945" s="2" t="n"/>
      <c r="F945" s="2" t="n"/>
      <c r="G945" s="3" t="n"/>
      <c r="H945" s="2" t="n"/>
      <c r="I945" s="3" t="n"/>
      <c r="J945" s="2" t="n"/>
      <c r="K945" s="2" t="n"/>
      <c r="L945" s="2" t="n"/>
      <c r="M945" s="2" t="n"/>
      <c r="N945" s="2" t="n"/>
      <c r="O945" s="2" t="n"/>
      <c r="P945" s="2" t="n"/>
      <c r="Q945" s="4">
        <f>IF(OR(A945="",E945=""),"",IF(MAXIFS($E$2:$E$1001,$A$2:$A$1001,A945,$E$2:$E$1001,"&lt;"&amp;E945)=0,"",SUMIFS($G$2:$G$1001,$A$2:$A$1001,A945,$E$2:$E$1001,MAXIFS($E$2:$E$1001,$A$2:$A$1001,A945,$E$2:$E$1001,"&lt;"&amp;E945))))</f>
        <v/>
      </c>
      <c r="R945" s="9">
        <f>IF(OR(Q945="",G945=""),"",G945-Q945)</f>
        <v/>
      </c>
      <c r="S945" s="9">
        <f>IF(R945="","",SUMIFS($R$2:$R$1001,$A$2:$A$1001,A945,$E$2:$E$1001,"&lt;="&amp;E945))</f>
        <v/>
      </c>
      <c r="T945" s="5">
        <f>IF(A945="","",IF(R945="","initial",IF(ABS(R945)&lt;=ShiftThresholdDays,"unchanged",IF(R945&gt;0,"delayed","accelerated"))))</f>
        <v/>
      </c>
    </row>
    <row r="946">
      <c r="A946" s="2" t="n"/>
      <c r="B946" s="2" t="n"/>
      <c r="C946" s="2" t="n"/>
      <c r="D946" s="2" t="n"/>
      <c r="E946" s="2" t="n"/>
      <c r="F946" s="2" t="n"/>
      <c r="G946" s="3" t="n"/>
      <c r="H946" s="2" t="n"/>
      <c r="I946" s="3" t="n"/>
      <c r="J946" s="2" t="n"/>
      <c r="K946" s="2" t="n"/>
      <c r="L946" s="2" t="n"/>
      <c r="M946" s="2" t="n"/>
      <c r="N946" s="2" t="n"/>
      <c r="O946" s="2" t="n"/>
      <c r="P946" s="2" t="n"/>
      <c r="Q946" s="4">
        <f>IF(OR(A946="",E946=""),"",IF(MAXIFS($E$2:$E$1001,$A$2:$A$1001,A946,$E$2:$E$1001,"&lt;"&amp;E946)=0,"",SUMIFS($G$2:$G$1001,$A$2:$A$1001,A946,$E$2:$E$1001,MAXIFS($E$2:$E$1001,$A$2:$A$1001,A946,$E$2:$E$1001,"&lt;"&amp;E946))))</f>
        <v/>
      </c>
      <c r="R946" s="9">
        <f>IF(OR(Q946="",G946=""),"",G946-Q946)</f>
        <v/>
      </c>
      <c r="S946" s="9">
        <f>IF(R946="","",SUMIFS($R$2:$R$1001,$A$2:$A$1001,A946,$E$2:$E$1001,"&lt;="&amp;E946))</f>
        <v/>
      </c>
      <c r="T946" s="5">
        <f>IF(A946="","",IF(R946="","initial",IF(ABS(R946)&lt;=ShiftThresholdDays,"unchanged",IF(R946&gt;0,"delayed","accelerated"))))</f>
        <v/>
      </c>
    </row>
    <row r="947">
      <c r="A947" s="2" t="n"/>
      <c r="B947" s="2" t="n"/>
      <c r="C947" s="2" t="n"/>
      <c r="D947" s="2" t="n"/>
      <c r="E947" s="2" t="n"/>
      <c r="F947" s="2" t="n"/>
      <c r="G947" s="3" t="n"/>
      <c r="H947" s="2" t="n"/>
      <c r="I947" s="3" t="n"/>
      <c r="J947" s="2" t="n"/>
      <c r="K947" s="2" t="n"/>
      <c r="L947" s="2" t="n"/>
      <c r="M947" s="2" t="n"/>
      <c r="N947" s="2" t="n"/>
      <c r="O947" s="2" t="n"/>
      <c r="P947" s="2" t="n"/>
      <c r="Q947" s="4">
        <f>IF(OR(A947="",E947=""),"",IF(MAXIFS($E$2:$E$1001,$A$2:$A$1001,A947,$E$2:$E$1001,"&lt;"&amp;E947)=0,"",SUMIFS($G$2:$G$1001,$A$2:$A$1001,A947,$E$2:$E$1001,MAXIFS($E$2:$E$1001,$A$2:$A$1001,A947,$E$2:$E$1001,"&lt;"&amp;E947))))</f>
        <v/>
      </c>
      <c r="R947" s="9">
        <f>IF(OR(Q947="",G947=""),"",G947-Q947)</f>
        <v/>
      </c>
      <c r="S947" s="9">
        <f>IF(R947="","",SUMIFS($R$2:$R$1001,$A$2:$A$1001,A947,$E$2:$E$1001,"&lt;="&amp;E947))</f>
        <v/>
      </c>
      <c r="T947" s="5">
        <f>IF(A947="","",IF(R947="","initial",IF(ABS(R947)&lt;=ShiftThresholdDays,"unchanged",IF(R947&gt;0,"delayed","accelerated"))))</f>
        <v/>
      </c>
    </row>
    <row r="948">
      <c r="A948" s="2" t="n"/>
      <c r="B948" s="2" t="n"/>
      <c r="C948" s="2" t="n"/>
      <c r="D948" s="2" t="n"/>
      <c r="E948" s="2" t="n"/>
      <c r="F948" s="2" t="n"/>
      <c r="G948" s="3" t="n"/>
      <c r="H948" s="2" t="n"/>
      <c r="I948" s="3" t="n"/>
      <c r="J948" s="2" t="n"/>
      <c r="K948" s="2" t="n"/>
      <c r="L948" s="2" t="n"/>
      <c r="M948" s="2" t="n"/>
      <c r="N948" s="2" t="n"/>
      <c r="O948" s="2" t="n"/>
      <c r="P948" s="2" t="n"/>
      <c r="Q948" s="4">
        <f>IF(OR(A948="",E948=""),"",IF(MAXIFS($E$2:$E$1001,$A$2:$A$1001,A948,$E$2:$E$1001,"&lt;"&amp;E948)=0,"",SUMIFS($G$2:$G$1001,$A$2:$A$1001,A948,$E$2:$E$1001,MAXIFS($E$2:$E$1001,$A$2:$A$1001,A948,$E$2:$E$1001,"&lt;"&amp;E948))))</f>
        <v/>
      </c>
      <c r="R948" s="9">
        <f>IF(OR(Q948="",G948=""),"",G948-Q948)</f>
        <v/>
      </c>
      <c r="S948" s="9">
        <f>IF(R948="","",SUMIFS($R$2:$R$1001,$A$2:$A$1001,A948,$E$2:$E$1001,"&lt;="&amp;E948))</f>
        <v/>
      </c>
      <c r="T948" s="5">
        <f>IF(A948="","",IF(R948="","initial",IF(ABS(R948)&lt;=ShiftThresholdDays,"unchanged",IF(R948&gt;0,"delayed","accelerated"))))</f>
        <v/>
      </c>
    </row>
    <row r="949">
      <c r="A949" s="2" t="n"/>
      <c r="B949" s="2" t="n"/>
      <c r="C949" s="2" t="n"/>
      <c r="D949" s="2" t="n"/>
      <c r="E949" s="2" t="n"/>
      <c r="F949" s="2" t="n"/>
      <c r="G949" s="3" t="n"/>
      <c r="H949" s="2" t="n"/>
      <c r="I949" s="3" t="n"/>
      <c r="J949" s="2" t="n"/>
      <c r="K949" s="2" t="n"/>
      <c r="L949" s="2" t="n"/>
      <c r="M949" s="2" t="n"/>
      <c r="N949" s="2" t="n"/>
      <c r="O949" s="2" t="n"/>
      <c r="P949" s="2" t="n"/>
      <c r="Q949" s="4">
        <f>IF(OR(A949="",E949=""),"",IF(MAXIFS($E$2:$E$1001,$A$2:$A$1001,A949,$E$2:$E$1001,"&lt;"&amp;E949)=0,"",SUMIFS($G$2:$G$1001,$A$2:$A$1001,A949,$E$2:$E$1001,MAXIFS($E$2:$E$1001,$A$2:$A$1001,A949,$E$2:$E$1001,"&lt;"&amp;E949))))</f>
        <v/>
      </c>
      <c r="R949" s="9">
        <f>IF(OR(Q949="",G949=""),"",G949-Q949)</f>
        <v/>
      </c>
      <c r="S949" s="9">
        <f>IF(R949="","",SUMIFS($R$2:$R$1001,$A$2:$A$1001,A949,$E$2:$E$1001,"&lt;="&amp;E949))</f>
        <v/>
      </c>
      <c r="T949" s="5">
        <f>IF(A949="","",IF(R949="","initial",IF(ABS(R949)&lt;=ShiftThresholdDays,"unchanged",IF(R949&gt;0,"delayed","accelerated"))))</f>
        <v/>
      </c>
    </row>
    <row r="950">
      <c r="A950" s="2" t="n"/>
      <c r="B950" s="2" t="n"/>
      <c r="C950" s="2" t="n"/>
      <c r="D950" s="2" t="n"/>
      <c r="E950" s="2" t="n"/>
      <c r="F950" s="2" t="n"/>
      <c r="G950" s="3" t="n"/>
      <c r="H950" s="2" t="n"/>
      <c r="I950" s="3" t="n"/>
      <c r="J950" s="2" t="n"/>
      <c r="K950" s="2" t="n"/>
      <c r="L950" s="2" t="n"/>
      <c r="M950" s="2" t="n"/>
      <c r="N950" s="2" t="n"/>
      <c r="O950" s="2" t="n"/>
      <c r="P950" s="2" t="n"/>
      <c r="Q950" s="4">
        <f>IF(OR(A950="",E950=""),"",IF(MAXIFS($E$2:$E$1001,$A$2:$A$1001,A950,$E$2:$E$1001,"&lt;"&amp;E950)=0,"",SUMIFS($G$2:$G$1001,$A$2:$A$1001,A950,$E$2:$E$1001,MAXIFS($E$2:$E$1001,$A$2:$A$1001,A950,$E$2:$E$1001,"&lt;"&amp;E950))))</f>
        <v/>
      </c>
      <c r="R950" s="9">
        <f>IF(OR(Q950="",G950=""),"",G950-Q950)</f>
        <v/>
      </c>
      <c r="S950" s="9">
        <f>IF(R950="","",SUMIFS($R$2:$R$1001,$A$2:$A$1001,A950,$E$2:$E$1001,"&lt;="&amp;E950))</f>
        <v/>
      </c>
      <c r="T950" s="5">
        <f>IF(A950="","",IF(R950="","initial",IF(ABS(R950)&lt;=ShiftThresholdDays,"unchanged",IF(R950&gt;0,"delayed","accelerated"))))</f>
        <v/>
      </c>
    </row>
    <row r="951">
      <c r="A951" s="2" t="n"/>
      <c r="B951" s="2" t="n"/>
      <c r="C951" s="2" t="n"/>
      <c r="D951" s="2" t="n"/>
      <c r="E951" s="2" t="n"/>
      <c r="F951" s="2" t="n"/>
      <c r="G951" s="3" t="n"/>
      <c r="H951" s="2" t="n"/>
      <c r="I951" s="3" t="n"/>
      <c r="J951" s="2" t="n"/>
      <c r="K951" s="2" t="n"/>
      <c r="L951" s="2" t="n"/>
      <c r="M951" s="2" t="n"/>
      <c r="N951" s="2" t="n"/>
      <c r="O951" s="2" t="n"/>
      <c r="P951" s="2" t="n"/>
      <c r="Q951" s="4">
        <f>IF(OR(A951="",E951=""),"",IF(MAXIFS($E$2:$E$1001,$A$2:$A$1001,A951,$E$2:$E$1001,"&lt;"&amp;E951)=0,"",SUMIFS($G$2:$G$1001,$A$2:$A$1001,A951,$E$2:$E$1001,MAXIFS($E$2:$E$1001,$A$2:$A$1001,A951,$E$2:$E$1001,"&lt;"&amp;E951))))</f>
        <v/>
      </c>
      <c r="R951" s="9">
        <f>IF(OR(Q951="",G951=""),"",G951-Q951)</f>
        <v/>
      </c>
      <c r="S951" s="9">
        <f>IF(R951="","",SUMIFS($R$2:$R$1001,$A$2:$A$1001,A951,$E$2:$E$1001,"&lt;="&amp;E951))</f>
        <v/>
      </c>
      <c r="T951" s="5">
        <f>IF(A951="","",IF(R951="","initial",IF(ABS(R951)&lt;=ShiftThresholdDays,"unchanged",IF(R951&gt;0,"delayed","accelerated"))))</f>
        <v/>
      </c>
    </row>
    <row r="952">
      <c r="A952" s="2" t="n"/>
      <c r="B952" s="2" t="n"/>
      <c r="C952" s="2" t="n"/>
      <c r="D952" s="2" t="n"/>
      <c r="E952" s="2" t="n"/>
      <c r="F952" s="2" t="n"/>
      <c r="G952" s="3" t="n"/>
      <c r="H952" s="2" t="n"/>
      <c r="I952" s="3" t="n"/>
      <c r="J952" s="2" t="n"/>
      <c r="K952" s="2" t="n"/>
      <c r="L952" s="2" t="n"/>
      <c r="M952" s="2" t="n"/>
      <c r="N952" s="2" t="n"/>
      <c r="O952" s="2" t="n"/>
      <c r="P952" s="2" t="n"/>
      <c r="Q952" s="4">
        <f>IF(OR(A952="",E952=""),"",IF(MAXIFS($E$2:$E$1001,$A$2:$A$1001,A952,$E$2:$E$1001,"&lt;"&amp;E952)=0,"",SUMIFS($G$2:$G$1001,$A$2:$A$1001,A952,$E$2:$E$1001,MAXIFS($E$2:$E$1001,$A$2:$A$1001,A952,$E$2:$E$1001,"&lt;"&amp;E952))))</f>
        <v/>
      </c>
      <c r="R952" s="9">
        <f>IF(OR(Q952="",G952=""),"",G952-Q952)</f>
        <v/>
      </c>
      <c r="S952" s="9">
        <f>IF(R952="","",SUMIFS($R$2:$R$1001,$A$2:$A$1001,A952,$E$2:$E$1001,"&lt;="&amp;E952))</f>
        <v/>
      </c>
      <c r="T952" s="5">
        <f>IF(A952="","",IF(R952="","initial",IF(ABS(R952)&lt;=ShiftThresholdDays,"unchanged",IF(R952&gt;0,"delayed","accelerated"))))</f>
        <v/>
      </c>
    </row>
    <row r="953">
      <c r="A953" s="2" t="n"/>
      <c r="B953" s="2" t="n"/>
      <c r="C953" s="2" t="n"/>
      <c r="D953" s="2" t="n"/>
      <c r="E953" s="2" t="n"/>
      <c r="F953" s="2" t="n"/>
      <c r="G953" s="3" t="n"/>
      <c r="H953" s="2" t="n"/>
      <c r="I953" s="3" t="n"/>
      <c r="J953" s="2" t="n"/>
      <c r="K953" s="2" t="n"/>
      <c r="L953" s="2" t="n"/>
      <c r="M953" s="2" t="n"/>
      <c r="N953" s="2" t="n"/>
      <c r="O953" s="2" t="n"/>
      <c r="P953" s="2" t="n"/>
      <c r="Q953" s="4">
        <f>IF(OR(A953="",E953=""),"",IF(MAXIFS($E$2:$E$1001,$A$2:$A$1001,A953,$E$2:$E$1001,"&lt;"&amp;E953)=0,"",SUMIFS($G$2:$G$1001,$A$2:$A$1001,A953,$E$2:$E$1001,MAXIFS($E$2:$E$1001,$A$2:$A$1001,A953,$E$2:$E$1001,"&lt;"&amp;E953))))</f>
        <v/>
      </c>
      <c r="R953" s="9">
        <f>IF(OR(Q953="",G953=""),"",G953-Q953)</f>
        <v/>
      </c>
      <c r="S953" s="9">
        <f>IF(R953="","",SUMIFS($R$2:$R$1001,$A$2:$A$1001,A953,$E$2:$E$1001,"&lt;="&amp;E953))</f>
        <v/>
      </c>
      <c r="T953" s="5">
        <f>IF(A953="","",IF(R953="","initial",IF(ABS(R953)&lt;=ShiftThresholdDays,"unchanged",IF(R953&gt;0,"delayed","accelerated"))))</f>
        <v/>
      </c>
    </row>
    <row r="954">
      <c r="A954" s="2" t="n"/>
      <c r="B954" s="2" t="n"/>
      <c r="C954" s="2" t="n"/>
      <c r="D954" s="2" t="n"/>
      <c r="E954" s="2" t="n"/>
      <c r="F954" s="2" t="n"/>
      <c r="G954" s="3" t="n"/>
      <c r="H954" s="2" t="n"/>
      <c r="I954" s="3" t="n"/>
      <c r="J954" s="2" t="n"/>
      <c r="K954" s="2" t="n"/>
      <c r="L954" s="2" t="n"/>
      <c r="M954" s="2" t="n"/>
      <c r="N954" s="2" t="n"/>
      <c r="O954" s="2" t="n"/>
      <c r="P954" s="2" t="n"/>
      <c r="Q954" s="4">
        <f>IF(OR(A954="",E954=""),"",IF(MAXIFS($E$2:$E$1001,$A$2:$A$1001,A954,$E$2:$E$1001,"&lt;"&amp;E954)=0,"",SUMIFS($G$2:$G$1001,$A$2:$A$1001,A954,$E$2:$E$1001,MAXIFS($E$2:$E$1001,$A$2:$A$1001,A954,$E$2:$E$1001,"&lt;"&amp;E954))))</f>
        <v/>
      </c>
      <c r="R954" s="9">
        <f>IF(OR(Q954="",G954=""),"",G954-Q954)</f>
        <v/>
      </c>
      <c r="S954" s="9">
        <f>IF(R954="","",SUMIFS($R$2:$R$1001,$A$2:$A$1001,A954,$E$2:$E$1001,"&lt;="&amp;E954))</f>
        <v/>
      </c>
      <c r="T954" s="5">
        <f>IF(A954="","",IF(R954="","initial",IF(ABS(R954)&lt;=ShiftThresholdDays,"unchanged",IF(R954&gt;0,"delayed","accelerated"))))</f>
        <v/>
      </c>
    </row>
    <row r="955">
      <c r="A955" s="2" t="n"/>
      <c r="B955" s="2" t="n"/>
      <c r="C955" s="2" t="n"/>
      <c r="D955" s="2" t="n"/>
      <c r="E955" s="2" t="n"/>
      <c r="F955" s="2" t="n"/>
      <c r="G955" s="3" t="n"/>
      <c r="H955" s="2" t="n"/>
      <c r="I955" s="3" t="n"/>
      <c r="J955" s="2" t="n"/>
      <c r="K955" s="2" t="n"/>
      <c r="L955" s="2" t="n"/>
      <c r="M955" s="2" t="n"/>
      <c r="N955" s="2" t="n"/>
      <c r="O955" s="2" t="n"/>
      <c r="P955" s="2" t="n"/>
      <c r="Q955" s="4">
        <f>IF(OR(A955="",E955=""),"",IF(MAXIFS($E$2:$E$1001,$A$2:$A$1001,A955,$E$2:$E$1001,"&lt;"&amp;E955)=0,"",SUMIFS($G$2:$G$1001,$A$2:$A$1001,A955,$E$2:$E$1001,MAXIFS($E$2:$E$1001,$A$2:$A$1001,A955,$E$2:$E$1001,"&lt;"&amp;E955))))</f>
        <v/>
      </c>
      <c r="R955" s="9">
        <f>IF(OR(Q955="",G955=""),"",G955-Q955)</f>
        <v/>
      </c>
      <c r="S955" s="9">
        <f>IF(R955="","",SUMIFS($R$2:$R$1001,$A$2:$A$1001,A955,$E$2:$E$1001,"&lt;="&amp;E955))</f>
        <v/>
      </c>
      <c r="T955" s="5">
        <f>IF(A955="","",IF(R955="","initial",IF(ABS(R955)&lt;=ShiftThresholdDays,"unchanged",IF(R955&gt;0,"delayed","accelerated"))))</f>
        <v/>
      </c>
    </row>
    <row r="956">
      <c r="A956" s="2" t="n"/>
      <c r="B956" s="2" t="n"/>
      <c r="C956" s="2" t="n"/>
      <c r="D956" s="2" t="n"/>
      <c r="E956" s="2" t="n"/>
      <c r="F956" s="2" t="n"/>
      <c r="G956" s="3" t="n"/>
      <c r="H956" s="2" t="n"/>
      <c r="I956" s="3" t="n"/>
      <c r="J956" s="2" t="n"/>
      <c r="K956" s="2" t="n"/>
      <c r="L956" s="2" t="n"/>
      <c r="M956" s="2" t="n"/>
      <c r="N956" s="2" t="n"/>
      <c r="O956" s="2" t="n"/>
      <c r="P956" s="2" t="n"/>
      <c r="Q956" s="4">
        <f>IF(OR(A956="",E956=""),"",IF(MAXIFS($E$2:$E$1001,$A$2:$A$1001,A956,$E$2:$E$1001,"&lt;"&amp;E956)=0,"",SUMIFS($G$2:$G$1001,$A$2:$A$1001,A956,$E$2:$E$1001,MAXIFS($E$2:$E$1001,$A$2:$A$1001,A956,$E$2:$E$1001,"&lt;"&amp;E956))))</f>
        <v/>
      </c>
      <c r="R956" s="9">
        <f>IF(OR(Q956="",G956=""),"",G956-Q956)</f>
        <v/>
      </c>
      <c r="S956" s="9">
        <f>IF(R956="","",SUMIFS($R$2:$R$1001,$A$2:$A$1001,A956,$E$2:$E$1001,"&lt;="&amp;E956))</f>
        <v/>
      </c>
      <c r="T956" s="5">
        <f>IF(A956="","",IF(R956="","initial",IF(ABS(R956)&lt;=ShiftThresholdDays,"unchanged",IF(R956&gt;0,"delayed","accelerated"))))</f>
        <v/>
      </c>
    </row>
    <row r="957">
      <c r="A957" s="2" t="n"/>
      <c r="B957" s="2" t="n"/>
      <c r="C957" s="2" t="n"/>
      <c r="D957" s="2" t="n"/>
      <c r="E957" s="2" t="n"/>
      <c r="F957" s="2" t="n"/>
      <c r="G957" s="3" t="n"/>
      <c r="H957" s="2" t="n"/>
      <c r="I957" s="3" t="n"/>
      <c r="J957" s="2" t="n"/>
      <c r="K957" s="2" t="n"/>
      <c r="L957" s="2" t="n"/>
      <c r="M957" s="2" t="n"/>
      <c r="N957" s="2" t="n"/>
      <c r="O957" s="2" t="n"/>
      <c r="P957" s="2" t="n"/>
      <c r="Q957" s="4">
        <f>IF(OR(A957="",E957=""),"",IF(MAXIFS($E$2:$E$1001,$A$2:$A$1001,A957,$E$2:$E$1001,"&lt;"&amp;E957)=0,"",SUMIFS($G$2:$G$1001,$A$2:$A$1001,A957,$E$2:$E$1001,MAXIFS($E$2:$E$1001,$A$2:$A$1001,A957,$E$2:$E$1001,"&lt;"&amp;E957))))</f>
        <v/>
      </c>
      <c r="R957" s="9">
        <f>IF(OR(Q957="",G957=""),"",G957-Q957)</f>
        <v/>
      </c>
      <c r="S957" s="9">
        <f>IF(R957="","",SUMIFS($R$2:$R$1001,$A$2:$A$1001,A957,$E$2:$E$1001,"&lt;="&amp;E957))</f>
        <v/>
      </c>
      <c r="T957" s="5">
        <f>IF(A957="","",IF(R957="","initial",IF(ABS(R957)&lt;=ShiftThresholdDays,"unchanged",IF(R957&gt;0,"delayed","accelerated"))))</f>
        <v/>
      </c>
    </row>
    <row r="958">
      <c r="A958" s="2" t="n"/>
      <c r="B958" s="2" t="n"/>
      <c r="C958" s="2" t="n"/>
      <c r="D958" s="2" t="n"/>
      <c r="E958" s="2" t="n"/>
      <c r="F958" s="2" t="n"/>
      <c r="G958" s="3" t="n"/>
      <c r="H958" s="2" t="n"/>
      <c r="I958" s="3" t="n"/>
      <c r="J958" s="2" t="n"/>
      <c r="K958" s="2" t="n"/>
      <c r="L958" s="2" t="n"/>
      <c r="M958" s="2" t="n"/>
      <c r="N958" s="2" t="n"/>
      <c r="O958" s="2" t="n"/>
      <c r="P958" s="2" t="n"/>
      <c r="Q958" s="4">
        <f>IF(OR(A958="",E958=""),"",IF(MAXIFS($E$2:$E$1001,$A$2:$A$1001,A958,$E$2:$E$1001,"&lt;"&amp;E958)=0,"",SUMIFS($G$2:$G$1001,$A$2:$A$1001,A958,$E$2:$E$1001,MAXIFS($E$2:$E$1001,$A$2:$A$1001,A958,$E$2:$E$1001,"&lt;"&amp;E958))))</f>
        <v/>
      </c>
      <c r="R958" s="9">
        <f>IF(OR(Q958="",G958=""),"",G958-Q958)</f>
        <v/>
      </c>
      <c r="S958" s="9">
        <f>IF(R958="","",SUMIFS($R$2:$R$1001,$A$2:$A$1001,A958,$E$2:$E$1001,"&lt;="&amp;E958))</f>
        <v/>
      </c>
      <c r="T958" s="5">
        <f>IF(A958="","",IF(R958="","initial",IF(ABS(R958)&lt;=ShiftThresholdDays,"unchanged",IF(R958&gt;0,"delayed","accelerated"))))</f>
        <v/>
      </c>
    </row>
    <row r="959">
      <c r="A959" s="2" t="n"/>
      <c r="B959" s="2" t="n"/>
      <c r="C959" s="2" t="n"/>
      <c r="D959" s="2" t="n"/>
      <c r="E959" s="2" t="n"/>
      <c r="F959" s="2" t="n"/>
      <c r="G959" s="3" t="n"/>
      <c r="H959" s="2" t="n"/>
      <c r="I959" s="3" t="n"/>
      <c r="J959" s="2" t="n"/>
      <c r="K959" s="2" t="n"/>
      <c r="L959" s="2" t="n"/>
      <c r="M959" s="2" t="n"/>
      <c r="N959" s="2" t="n"/>
      <c r="O959" s="2" t="n"/>
      <c r="P959" s="2" t="n"/>
      <c r="Q959" s="4">
        <f>IF(OR(A959="",E959=""),"",IF(MAXIFS($E$2:$E$1001,$A$2:$A$1001,A959,$E$2:$E$1001,"&lt;"&amp;E959)=0,"",SUMIFS($G$2:$G$1001,$A$2:$A$1001,A959,$E$2:$E$1001,MAXIFS($E$2:$E$1001,$A$2:$A$1001,A959,$E$2:$E$1001,"&lt;"&amp;E959))))</f>
        <v/>
      </c>
      <c r="R959" s="9">
        <f>IF(OR(Q959="",G959=""),"",G959-Q959)</f>
        <v/>
      </c>
      <c r="S959" s="9">
        <f>IF(R959="","",SUMIFS($R$2:$R$1001,$A$2:$A$1001,A959,$E$2:$E$1001,"&lt;="&amp;E959))</f>
        <v/>
      </c>
      <c r="T959" s="5">
        <f>IF(A959="","",IF(R959="","initial",IF(ABS(R959)&lt;=ShiftThresholdDays,"unchanged",IF(R959&gt;0,"delayed","accelerated"))))</f>
        <v/>
      </c>
    </row>
    <row r="960">
      <c r="A960" s="2" t="n"/>
      <c r="B960" s="2" t="n"/>
      <c r="C960" s="2" t="n"/>
      <c r="D960" s="2" t="n"/>
      <c r="E960" s="2" t="n"/>
      <c r="F960" s="2" t="n"/>
      <c r="G960" s="3" t="n"/>
      <c r="H960" s="2" t="n"/>
      <c r="I960" s="3" t="n"/>
      <c r="J960" s="2" t="n"/>
      <c r="K960" s="2" t="n"/>
      <c r="L960" s="2" t="n"/>
      <c r="M960" s="2" t="n"/>
      <c r="N960" s="2" t="n"/>
      <c r="O960" s="2" t="n"/>
      <c r="P960" s="2" t="n"/>
      <c r="Q960" s="4">
        <f>IF(OR(A960="",E960=""),"",IF(MAXIFS($E$2:$E$1001,$A$2:$A$1001,A960,$E$2:$E$1001,"&lt;"&amp;E960)=0,"",SUMIFS($G$2:$G$1001,$A$2:$A$1001,A960,$E$2:$E$1001,MAXIFS($E$2:$E$1001,$A$2:$A$1001,A960,$E$2:$E$1001,"&lt;"&amp;E960))))</f>
        <v/>
      </c>
      <c r="R960" s="9">
        <f>IF(OR(Q960="",G960=""),"",G960-Q960)</f>
        <v/>
      </c>
      <c r="S960" s="9">
        <f>IF(R960="","",SUMIFS($R$2:$R$1001,$A$2:$A$1001,A960,$E$2:$E$1001,"&lt;="&amp;E960))</f>
        <v/>
      </c>
      <c r="T960" s="5">
        <f>IF(A960="","",IF(R960="","initial",IF(ABS(R960)&lt;=ShiftThresholdDays,"unchanged",IF(R960&gt;0,"delayed","accelerated"))))</f>
        <v/>
      </c>
    </row>
    <row r="961">
      <c r="A961" s="2" t="n"/>
      <c r="B961" s="2" t="n"/>
      <c r="C961" s="2" t="n"/>
      <c r="D961" s="2" t="n"/>
      <c r="E961" s="2" t="n"/>
      <c r="F961" s="2" t="n"/>
      <c r="G961" s="3" t="n"/>
      <c r="H961" s="2" t="n"/>
      <c r="I961" s="3" t="n"/>
      <c r="J961" s="2" t="n"/>
      <c r="K961" s="2" t="n"/>
      <c r="L961" s="2" t="n"/>
      <c r="M961" s="2" t="n"/>
      <c r="N961" s="2" t="n"/>
      <c r="O961" s="2" t="n"/>
      <c r="P961" s="2" t="n"/>
      <c r="Q961" s="4">
        <f>IF(OR(A961="",E961=""),"",IF(MAXIFS($E$2:$E$1001,$A$2:$A$1001,A961,$E$2:$E$1001,"&lt;"&amp;E961)=0,"",SUMIFS($G$2:$G$1001,$A$2:$A$1001,A961,$E$2:$E$1001,MAXIFS($E$2:$E$1001,$A$2:$A$1001,A961,$E$2:$E$1001,"&lt;"&amp;E961))))</f>
        <v/>
      </c>
      <c r="R961" s="9">
        <f>IF(OR(Q961="",G961=""),"",G961-Q961)</f>
        <v/>
      </c>
      <c r="S961" s="9">
        <f>IF(R961="","",SUMIFS($R$2:$R$1001,$A$2:$A$1001,A961,$E$2:$E$1001,"&lt;="&amp;E961))</f>
        <v/>
      </c>
      <c r="T961" s="5">
        <f>IF(A961="","",IF(R961="","initial",IF(ABS(R961)&lt;=ShiftThresholdDays,"unchanged",IF(R961&gt;0,"delayed","accelerated"))))</f>
        <v/>
      </c>
    </row>
    <row r="962">
      <c r="A962" s="2" t="n"/>
      <c r="B962" s="2" t="n"/>
      <c r="C962" s="2" t="n"/>
      <c r="D962" s="2" t="n"/>
      <c r="E962" s="2" t="n"/>
      <c r="F962" s="2" t="n"/>
      <c r="G962" s="3" t="n"/>
      <c r="H962" s="2" t="n"/>
      <c r="I962" s="3" t="n"/>
      <c r="J962" s="2" t="n"/>
      <c r="K962" s="2" t="n"/>
      <c r="L962" s="2" t="n"/>
      <c r="M962" s="2" t="n"/>
      <c r="N962" s="2" t="n"/>
      <c r="O962" s="2" t="n"/>
      <c r="P962" s="2" t="n"/>
      <c r="Q962" s="4">
        <f>IF(OR(A962="",E962=""),"",IF(MAXIFS($E$2:$E$1001,$A$2:$A$1001,A962,$E$2:$E$1001,"&lt;"&amp;E962)=0,"",SUMIFS($G$2:$G$1001,$A$2:$A$1001,A962,$E$2:$E$1001,MAXIFS($E$2:$E$1001,$A$2:$A$1001,A962,$E$2:$E$1001,"&lt;"&amp;E962))))</f>
        <v/>
      </c>
      <c r="R962" s="9">
        <f>IF(OR(Q962="",G962=""),"",G962-Q962)</f>
        <v/>
      </c>
      <c r="S962" s="9">
        <f>IF(R962="","",SUMIFS($R$2:$R$1001,$A$2:$A$1001,A962,$E$2:$E$1001,"&lt;="&amp;E962))</f>
        <v/>
      </c>
      <c r="T962" s="5">
        <f>IF(A962="","",IF(R962="","initial",IF(ABS(R962)&lt;=ShiftThresholdDays,"unchanged",IF(R962&gt;0,"delayed","accelerated"))))</f>
        <v/>
      </c>
    </row>
    <row r="963">
      <c r="A963" s="2" t="n"/>
      <c r="B963" s="2" t="n"/>
      <c r="C963" s="2" t="n"/>
      <c r="D963" s="2" t="n"/>
      <c r="E963" s="2" t="n"/>
      <c r="F963" s="2" t="n"/>
      <c r="G963" s="3" t="n"/>
      <c r="H963" s="2" t="n"/>
      <c r="I963" s="3" t="n"/>
      <c r="J963" s="2" t="n"/>
      <c r="K963" s="2" t="n"/>
      <c r="L963" s="2" t="n"/>
      <c r="M963" s="2" t="n"/>
      <c r="N963" s="2" t="n"/>
      <c r="O963" s="2" t="n"/>
      <c r="P963" s="2" t="n"/>
      <c r="Q963" s="4">
        <f>IF(OR(A963="",E963=""),"",IF(MAXIFS($E$2:$E$1001,$A$2:$A$1001,A963,$E$2:$E$1001,"&lt;"&amp;E963)=0,"",SUMIFS($G$2:$G$1001,$A$2:$A$1001,A963,$E$2:$E$1001,MAXIFS($E$2:$E$1001,$A$2:$A$1001,A963,$E$2:$E$1001,"&lt;"&amp;E963))))</f>
        <v/>
      </c>
      <c r="R963" s="9">
        <f>IF(OR(Q963="",G963=""),"",G963-Q963)</f>
        <v/>
      </c>
      <c r="S963" s="9">
        <f>IF(R963="","",SUMIFS($R$2:$R$1001,$A$2:$A$1001,A963,$E$2:$E$1001,"&lt;="&amp;E963))</f>
        <v/>
      </c>
      <c r="T963" s="5">
        <f>IF(A963="","",IF(R963="","initial",IF(ABS(R963)&lt;=ShiftThresholdDays,"unchanged",IF(R963&gt;0,"delayed","accelerated"))))</f>
        <v/>
      </c>
    </row>
    <row r="964">
      <c r="A964" s="2" t="n"/>
      <c r="B964" s="2" t="n"/>
      <c r="C964" s="2" t="n"/>
      <c r="D964" s="2" t="n"/>
      <c r="E964" s="2" t="n"/>
      <c r="F964" s="2" t="n"/>
      <c r="G964" s="3" t="n"/>
      <c r="H964" s="2" t="n"/>
      <c r="I964" s="3" t="n"/>
      <c r="J964" s="2" t="n"/>
      <c r="K964" s="2" t="n"/>
      <c r="L964" s="2" t="n"/>
      <c r="M964" s="2" t="n"/>
      <c r="N964" s="2" t="n"/>
      <c r="O964" s="2" t="n"/>
      <c r="P964" s="2" t="n"/>
      <c r="Q964" s="4">
        <f>IF(OR(A964="",E964=""),"",IF(MAXIFS($E$2:$E$1001,$A$2:$A$1001,A964,$E$2:$E$1001,"&lt;"&amp;E964)=0,"",SUMIFS($G$2:$G$1001,$A$2:$A$1001,A964,$E$2:$E$1001,MAXIFS($E$2:$E$1001,$A$2:$A$1001,A964,$E$2:$E$1001,"&lt;"&amp;E964))))</f>
        <v/>
      </c>
      <c r="R964" s="9">
        <f>IF(OR(Q964="",G964=""),"",G964-Q964)</f>
        <v/>
      </c>
      <c r="S964" s="9">
        <f>IF(R964="","",SUMIFS($R$2:$R$1001,$A$2:$A$1001,A964,$E$2:$E$1001,"&lt;="&amp;E964))</f>
        <v/>
      </c>
      <c r="T964" s="5">
        <f>IF(A964="","",IF(R964="","initial",IF(ABS(R964)&lt;=ShiftThresholdDays,"unchanged",IF(R964&gt;0,"delayed","accelerated"))))</f>
        <v/>
      </c>
    </row>
    <row r="965">
      <c r="A965" s="2" t="n"/>
      <c r="B965" s="2" t="n"/>
      <c r="C965" s="2" t="n"/>
      <c r="D965" s="2" t="n"/>
      <c r="E965" s="2" t="n"/>
      <c r="F965" s="2" t="n"/>
      <c r="G965" s="3" t="n"/>
      <c r="H965" s="2" t="n"/>
      <c r="I965" s="3" t="n"/>
      <c r="J965" s="2" t="n"/>
      <c r="K965" s="2" t="n"/>
      <c r="L965" s="2" t="n"/>
      <c r="M965" s="2" t="n"/>
      <c r="N965" s="2" t="n"/>
      <c r="O965" s="2" t="n"/>
      <c r="P965" s="2" t="n"/>
      <c r="Q965" s="4">
        <f>IF(OR(A965="",E965=""),"",IF(MAXIFS($E$2:$E$1001,$A$2:$A$1001,A965,$E$2:$E$1001,"&lt;"&amp;E965)=0,"",SUMIFS($G$2:$G$1001,$A$2:$A$1001,A965,$E$2:$E$1001,MAXIFS($E$2:$E$1001,$A$2:$A$1001,A965,$E$2:$E$1001,"&lt;"&amp;E965))))</f>
        <v/>
      </c>
      <c r="R965" s="9">
        <f>IF(OR(Q965="",G965=""),"",G965-Q965)</f>
        <v/>
      </c>
      <c r="S965" s="9">
        <f>IF(R965="","",SUMIFS($R$2:$R$1001,$A$2:$A$1001,A965,$E$2:$E$1001,"&lt;="&amp;E965))</f>
        <v/>
      </c>
      <c r="T965" s="5">
        <f>IF(A965="","",IF(R965="","initial",IF(ABS(R965)&lt;=ShiftThresholdDays,"unchanged",IF(R965&gt;0,"delayed","accelerated"))))</f>
        <v/>
      </c>
    </row>
    <row r="966">
      <c r="A966" s="2" t="n"/>
      <c r="B966" s="2" t="n"/>
      <c r="C966" s="2" t="n"/>
      <c r="D966" s="2" t="n"/>
      <c r="E966" s="2" t="n"/>
      <c r="F966" s="2" t="n"/>
      <c r="G966" s="3" t="n"/>
      <c r="H966" s="2" t="n"/>
      <c r="I966" s="3" t="n"/>
      <c r="J966" s="2" t="n"/>
      <c r="K966" s="2" t="n"/>
      <c r="L966" s="2" t="n"/>
      <c r="M966" s="2" t="n"/>
      <c r="N966" s="2" t="n"/>
      <c r="O966" s="2" t="n"/>
      <c r="P966" s="2" t="n"/>
      <c r="Q966" s="4">
        <f>IF(OR(A966="",E966=""),"",IF(MAXIFS($E$2:$E$1001,$A$2:$A$1001,A966,$E$2:$E$1001,"&lt;"&amp;E966)=0,"",SUMIFS($G$2:$G$1001,$A$2:$A$1001,A966,$E$2:$E$1001,MAXIFS($E$2:$E$1001,$A$2:$A$1001,A966,$E$2:$E$1001,"&lt;"&amp;E966))))</f>
        <v/>
      </c>
      <c r="R966" s="9">
        <f>IF(OR(Q966="",G966=""),"",G966-Q966)</f>
        <v/>
      </c>
      <c r="S966" s="9">
        <f>IF(R966="","",SUMIFS($R$2:$R$1001,$A$2:$A$1001,A966,$E$2:$E$1001,"&lt;="&amp;E966))</f>
        <v/>
      </c>
      <c r="T966" s="5">
        <f>IF(A966="","",IF(R966="","initial",IF(ABS(R966)&lt;=ShiftThresholdDays,"unchanged",IF(R966&gt;0,"delayed","accelerated"))))</f>
        <v/>
      </c>
    </row>
    <row r="967">
      <c r="A967" s="2" t="n"/>
      <c r="B967" s="2" t="n"/>
      <c r="C967" s="2" t="n"/>
      <c r="D967" s="2" t="n"/>
      <c r="E967" s="2" t="n"/>
      <c r="F967" s="2" t="n"/>
      <c r="G967" s="3" t="n"/>
      <c r="H967" s="2" t="n"/>
      <c r="I967" s="3" t="n"/>
      <c r="J967" s="2" t="n"/>
      <c r="K967" s="2" t="n"/>
      <c r="L967" s="2" t="n"/>
      <c r="M967" s="2" t="n"/>
      <c r="N967" s="2" t="n"/>
      <c r="O967" s="2" t="n"/>
      <c r="P967" s="2" t="n"/>
      <c r="Q967" s="4">
        <f>IF(OR(A967="",E967=""),"",IF(MAXIFS($E$2:$E$1001,$A$2:$A$1001,A967,$E$2:$E$1001,"&lt;"&amp;E967)=0,"",SUMIFS($G$2:$G$1001,$A$2:$A$1001,A967,$E$2:$E$1001,MAXIFS($E$2:$E$1001,$A$2:$A$1001,A967,$E$2:$E$1001,"&lt;"&amp;E967))))</f>
        <v/>
      </c>
      <c r="R967" s="9">
        <f>IF(OR(Q967="",G967=""),"",G967-Q967)</f>
        <v/>
      </c>
      <c r="S967" s="9">
        <f>IF(R967="","",SUMIFS($R$2:$R$1001,$A$2:$A$1001,A967,$E$2:$E$1001,"&lt;="&amp;E967))</f>
        <v/>
      </c>
      <c r="T967" s="5">
        <f>IF(A967="","",IF(R967="","initial",IF(ABS(R967)&lt;=ShiftThresholdDays,"unchanged",IF(R967&gt;0,"delayed","accelerated"))))</f>
        <v/>
      </c>
    </row>
    <row r="968">
      <c r="A968" s="2" t="n"/>
      <c r="B968" s="2" t="n"/>
      <c r="C968" s="2" t="n"/>
      <c r="D968" s="2" t="n"/>
      <c r="E968" s="2" t="n"/>
      <c r="F968" s="2" t="n"/>
      <c r="G968" s="3" t="n"/>
      <c r="H968" s="2" t="n"/>
      <c r="I968" s="3" t="n"/>
      <c r="J968" s="2" t="n"/>
      <c r="K968" s="2" t="n"/>
      <c r="L968" s="2" t="n"/>
      <c r="M968" s="2" t="n"/>
      <c r="N968" s="2" t="n"/>
      <c r="O968" s="2" t="n"/>
      <c r="P968" s="2" t="n"/>
      <c r="Q968" s="4">
        <f>IF(OR(A968="",E968=""),"",IF(MAXIFS($E$2:$E$1001,$A$2:$A$1001,A968,$E$2:$E$1001,"&lt;"&amp;E968)=0,"",SUMIFS($G$2:$G$1001,$A$2:$A$1001,A968,$E$2:$E$1001,MAXIFS($E$2:$E$1001,$A$2:$A$1001,A968,$E$2:$E$1001,"&lt;"&amp;E968))))</f>
        <v/>
      </c>
      <c r="R968" s="9">
        <f>IF(OR(Q968="",G968=""),"",G968-Q968)</f>
        <v/>
      </c>
      <c r="S968" s="9">
        <f>IF(R968="","",SUMIFS($R$2:$R$1001,$A$2:$A$1001,A968,$E$2:$E$1001,"&lt;="&amp;E968))</f>
        <v/>
      </c>
      <c r="T968" s="5">
        <f>IF(A968="","",IF(R968="","initial",IF(ABS(R968)&lt;=ShiftThresholdDays,"unchanged",IF(R968&gt;0,"delayed","accelerated"))))</f>
        <v/>
      </c>
    </row>
    <row r="969">
      <c r="A969" s="2" t="n"/>
      <c r="B969" s="2" t="n"/>
      <c r="C969" s="2" t="n"/>
      <c r="D969" s="2" t="n"/>
      <c r="E969" s="2" t="n"/>
      <c r="F969" s="2" t="n"/>
      <c r="G969" s="3" t="n"/>
      <c r="H969" s="2" t="n"/>
      <c r="I969" s="3" t="n"/>
      <c r="J969" s="2" t="n"/>
      <c r="K969" s="2" t="n"/>
      <c r="L969" s="2" t="n"/>
      <c r="M969" s="2" t="n"/>
      <c r="N969" s="2" t="n"/>
      <c r="O969" s="2" t="n"/>
      <c r="P969" s="2" t="n"/>
      <c r="Q969" s="4">
        <f>IF(OR(A969="",E969=""),"",IF(MAXIFS($E$2:$E$1001,$A$2:$A$1001,A969,$E$2:$E$1001,"&lt;"&amp;E969)=0,"",SUMIFS($G$2:$G$1001,$A$2:$A$1001,A969,$E$2:$E$1001,MAXIFS($E$2:$E$1001,$A$2:$A$1001,A969,$E$2:$E$1001,"&lt;"&amp;E969))))</f>
        <v/>
      </c>
      <c r="R969" s="9">
        <f>IF(OR(Q969="",G969=""),"",G969-Q969)</f>
        <v/>
      </c>
      <c r="S969" s="9">
        <f>IF(R969="","",SUMIFS($R$2:$R$1001,$A$2:$A$1001,A969,$E$2:$E$1001,"&lt;="&amp;E969))</f>
        <v/>
      </c>
      <c r="T969" s="5">
        <f>IF(A969="","",IF(R969="","initial",IF(ABS(R969)&lt;=ShiftThresholdDays,"unchanged",IF(R969&gt;0,"delayed","accelerated"))))</f>
        <v/>
      </c>
    </row>
    <row r="970">
      <c r="A970" s="2" t="n"/>
      <c r="B970" s="2" t="n"/>
      <c r="C970" s="2" t="n"/>
      <c r="D970" s="2" t="n"/>
      <c r="E970" s="2" t="n"/>
      <c r="F970" s="2" t="n"/>
      <c r="G970" s="3" t="n"/>
      <c r="H970" s="2" t="n"/>
      <c r="I970" s="3" t="n"/>
      <c r="J970" s="2" t="n"/>
      <c r="K970" s="2" t="n"/>
      <c r="L970" s="2" t="n"/>
      <c r="M970" s="2" t="n"/>
      <c r="N970" s="2" t="n"/>
      <c r="O970" s="2" t="n"/>
      <c r="P970" s="2" t="n"/>
      <c r="Q970" s="4">
        <f>IF(OR(A970="",E970=""),"",IF(MAXIFS($E$2:$E$1001,$A$2:$A$1001,A970,$E$2:$E$1001,"&lt;"&amp;E970)=0,"",SUMIFS($G$2:$G$1001,$A$2:$A$1001,A970,$E$2:$E$1001,MAXIFS($E$2:$E$1001,$A$2:$A$1001,A970,$E$2:$E$1001,"&lt;"&amp;E970))))</f>
        <v/>
      </c>
      <c r="R970" s="9">
        <f>IF(OR(Q970="",G970=""),"",G970-Q970)</f>
        <v/>
      </c>
      <c r="S970" s="9">
        <f>IF(R970="","",SUMIFS($R$2:$R$1001,$A$2:$A$1001,A970,$E$2:$E$1001,"&lt;="&amp;E970))</f>
        <v/>
      </c>
      <c r="T970" s="5">
        <f>IF(A970="","",IF(R970="","initial",IF(ABS(R970)&lt;=ShiftThresholdDays,"unchanged",IF(R970&gt;0,"delayed","accelerated"))))</f>
        <v/>
      </c>
    </row>
    <row r="971">
      <c r="A971" s="2" t="n"/>
      <c r="B971" s="2" t="n"/>
      <c r="C971" s="2" t="n"/>
      <c r="D971" s="2" t="n"/>
      <c r="E971" s="2" t="n"/>
      <c r="F971" s="2" t="n"/>
      <c r="G971" s="3" t="n"/>
      <c r="H971" s="2" t="n"/>
      <c r="I971" s="3" t="n"/>
      <c r="J971" s="2" t="n"/>
      <c r="K971" s="2" t="n"/>
      <c r="L971" s="2" t="n"/>
      <c r="M971" s="2" t="n"/>
      <c r="N971" s="2" t="n"/>
      <c r="O971" s="2" t="n"/>
      <c r="P971" s="2" t="n"/>
      <c r="Q971" s="4">
        <f>IF(OR(A971="",E971=""),"",IF(MAXIFS($E$2:$E$1001,$A$2:$A$1001,A971,$E$2:$E$1001,"&lt;"&amp;E971)=0,"",SUMIFS($G$2:$G$1001,$A$2:$A$1001,A971,$E$2:$E$1001,MAXIFS($E$2:$E$1001,$A$2:$A$1001,A971,$E$2:$E$1001,"&lt;"&amp;E971))))</f>
        <v/>
      </c>
      <c r="R971" s="9">
        <f>IF(OR(Q971="",G971=""),"",G971-Q971)</f>
        <v/>
      </c>
      <c r="S971" s="9">
        <f>IF(R971="","",SUMIFS($R$2:$R$1001,$A$2:$A$1001,A971,$E$2:$E$1001,"&lt;="&amp;E971))</f>
        <v/>
      </c>
      <c r="T971" s="5">
        <f>IF(A971="","",IF(R971="","initial",IF(ABS(R971)&lt;=ShiftThresholdDays,"unchanged",IF(R971&gt;0,"delayed","accelerated"))))</f>
        <v/>
      </c>
    </row>
    <row r="972">
      <c r="A972" s="2" t="n"/>
      <c r="B972" s="2" t="n"/>
      <c r="C972" s="2" t="n"/>
      <c r="D972" s="2" t="n"/>
      <c r="E972" s="2" t="n"/>
      <c r="F972" s="2" t="n"/>
      <c r="G972" s="3" t="n"/>
      <c r="H972" s="2" t="n"/>
      <c r="I972" s="3" t="n"/>
      <c r="J972" s="2" t="n"/>
      <c r="K972" s="2" t="n"/>
      <c r="L972" s="2" t="n"/>
      <c r="M972" s="2" t="n"/>
      <c r="N972" s="2" t="n"/>
      <c r="O972" s="2" t="n"/>
      <c r="P972" s="2" t="n"/>
      <c r="Q972" s="4">
        <f>IF(OR(A972="",E972=""),"",IF(MAXIFS($E$2:$E$1001,$A$2:$A$1001,A972,$E$2:$E$1001,"&lt;"&amp;E972)=0,"",SUMIFS($G$2:$G$1001,$A$2:$A$1001,A972,$E$2:$E$1001,MAXIFS($E$2:$E$1001,$A$2:$A$1001,A972,$E$2:$E$1001,"&lt;"&amp;E972))))</f>
        <v/>
      </c>
      <c r="R972" s="9">
        <f>IF(OR(Q972="",G972=""),"",G972-Q972)</f>
        <v/>
      </c>
      <c r="S972" s="9">
        <f>IF(R972="","",SUMIFS($R$2:$R$1001,$A$2:$A$1001,A972,$E$2:$E$1001,"&lt;="&amp;E972))</f>
        <v/>
      </c>
      <c r="T972" s="5">
        <f>IF(A972="","",IF(R972="","initial",IF(ABS(R972)&lt;=ShiftThresholdDays,"unchanged",IF(R972&gt;0,"delayed","accelerated"))))</f>
        <v/>
      </c>
    </row>
    <row r="973">
      <c r="A973" s="2" t="n"/>
      <c r="B973" s="2" t="n"/>
      <c r="C973" s="2" t="n"/>
      <c r="D973" s="2" t="n"/>
      <c r="E973" s="2" t="n"/>
      <c r="F973" s="2" t="n"/>
      <c r="G973" s="3" t="n"/>
      <c r="H973" s="2" t="n"/>
      <c r="I973" s="3" t="n"/>
      <c r="J973" s="2" t="n"/>
      <c r="K973" s="2" t="n"/>
      <c r="L973" s="2" t="n"/>
      <c r="M973" s="2" t="n"/>
      <c r="N973" s="2" t="n"/>
      <c r="O973" s="2" t="n"/>
      <c r="P973" s="2" t="n"/>
      <c r="Q973" s="4">
        <f>IF(OR(A973="",E973=""),"",IF(MAXIFS($E$2:$E$1001,$A$2:$A$1001,A973,$E$2:$E$1001,"&lt;"&amp;E973)=0,"",SUMIFS($G$2:$G$1001,$A$2:$A$1001,A973,$E$2:$E$1001,MAXIFS($E$2:$E$1001,$A$2:$A$1001,A973,$E$2:$E$1001,"&lt;"&amp;E973))))</f>
        <v/>
      </c>
      <c r="R973" s="9">
        <f>IF(OR(Q973="",G973=""),"",G973-Q973)</f>
        <v/>
      </c>
      <c r="S973" s="9">
        <f>IF(R973="","",SUMIFS($R$2:$R$1001,$A$2:$A$1001,A973,$E$2:$E$1001,"&lt;="&amp;E973))</f>
        <v/>
      </c>
      <c r="T973" s="5">
        <f>IF(A973="","",IF(R973="","initial",IF(ABS(R973)&lt;=ShiftThresholdDays,"unchanged",IF(R973&gt;0,"delayed","accelerated"))))</f>
        <v/>
      </c>
    </row>
    <row r="974">
      <c r="A974" s="2" t="n"/>
      <c r="B974" s="2" t="n"/>
      <c r="C974" s="2" t="n"/>
      <c r="D974" s="2" t="n"/>
      <c r="E974" s="2" t="n"/>
      <c r="F974" s="2" t="n"/>
      <c r="G974" s="3" t="n"/>
      <c r="H974" s="2" t="n"/>
      <c r="I974" s="3" t="n"/>
      <c r="J974" s="2" t="n"/>
      <c r="K974" s="2" t="n"/>
      <c r="L974" s="2" t="n"/>
      <c r="M974" s="2" t="n"/>
      <c r="N974" s="2" t="n"/>
      <c r="O974" s="2" t="n"/>
      <c r="P974" s="2" t="n"/>
      <c r="Q974" s="4">
        <f>IF(OR(A974="",E974=""),"",IF(MAXIFS($E$2:$E$1001,$A$2:$A$1001,A974,$E$2:$E$1001,"&lt;"&amp;E974)=0,"",SUMIFS($G$2:$G$1001,$A$2:$A$1001,A974,$E$2:$E$1001,MAXIFS($E$2:$E$1001,$A$2:$A$1001,A974,$E$2:$E$1001,"&lt;"&amp;E974))))</f>
        <v/>
      </c>
      <c r="R974" s="9">
        <f>IF(OR(Q974="",G974=""),"",G974-Q974)</f>
        <v/>
      </c>
      <c r="S974" s="9">
        <f>IF(R974="","",SUMIFS($R$2:$R$1001,$A$2:$A$1001,A974,$E$2:$E$1001,"&lt;="&amp;E974))</f>
        <v/>
      </c>
      <c r="T974" s="5">
        <f>IF(A974="","",IF(R974="","initial",IF(ABS(R974)&lt;=ShiftThresholdDays,"unchanged",IF(R974&gt;0,"delayed","accelerated"))))</f>
        <v/>
      </c>
    </row>
    <row r="975">
      <c r="A975" s="2" t="n"/>
      <c r="B975" s="2" t="n"/>
      <c r="C975" s="2" t="n"/>
      <c r="D975" s="2" t="n"/>
      <c r="E975" s="2" t="n"/>
      <c r="F975" s="2" t="n"/>
      <c r="G975" s="3" t="n"/>
      <c r="H975" s="2" t="n"/>
      <c r="I975" s="3" t="n"/>
      <c r="J975" s="2" t="n"/>
      <c r="K975" s="2" t="n"/>
      <c r="L975" s="2" t="n"/>
      <c r="M975" s="2" t="n"/>
      <c r="N975" s="2" t="n"/>
      <c r="O975" s="2" t="n"/>
      <c r="P975" s="2" t="n"/>
      <c r="Q975" s="4">
        <f>IF(OR(A975="",E975=""),"",IF(MAXIFS($E$2:$E$1001,$A$2:$A$1001,A975,$E$2:$E$1001,"&lt;"&amp;E975)=0,"",SUMIFS($G$2:$G$1001,$A$2:$A$1001,A975,$E$2:$E$1001,MAXIFS($E$2:$E$1001,$A$2:$A$1001,A975,$E$2:$E$1001,"&lt;"&amp;E975))))</f>
        <v/>
      </c>
      <c r="R975" s="9">
        <f>IF(OR(Q975="",G975=""),"",G975-Q975)</f>
        <v/>
      </c>
      <c r="S975" s="9">
        <f>IF(R975="","",SUMIFS($R$2:$R$1001,$A$2:$A$1001,A975,$E$2:$E$1001,"&lt;="&amp;E975))</f>
        <v/>
      </c>
      <c r="T975" s="5">
        <f>IF(A975="","",IF(R975="","initial",IF(ABS(R975)&lt;=ShiftThresholdDays,"unchanged",IF(R975&gt;0,"delayed","accelerated"))))</f>
        <v/>
      </c>
    </row>
    <row r="976">
      <c r="A976" s="2" t="n"/>
      <c r="B976" s="2" t="n"/>
      <c r="C976" s="2" t="n"/>
      <c r="D976" s="2" t="n"/>
      <c r="E976" s="2" t="n"/>
      <c r="F976" s="2" t="n"/>
      <c r="G976" s="3" t="n"/>
      <c r="H976" s="2" t="n"/>
      <c r="I976" s="3" t="n"/>
      <c r="J976" s="2" t="n"/>
      <c r="K976" s="2" t="n"/>
      <c r="L976" s="2" t="n"/>
      <c r="M976" s="2" t="n"/>
      <c r="N976" s="2" t="n"/>
      <c r="O976" s="2" t="n"/>
      <c r="P976" s="2" t="n"/>
      <c r="Q976" s="4">
        <f>IF(OR(A976="",E976=""),"",IF(MAXIFS($E$2:$E$1001,$A$2:$A$1001,A976,$E$2:$E$1001,"&lt;"&amp;E976)=0,"",SUMIFS($G$2:$G$1001,$A$2:$A$1001,A976,$E$2:$E$1001,MAXIFS($E$2:$E$1001,$A$2:$A$1001,A976,$E$2:$E$1001,"&lt;"&amp;E976))))</f>
        <v/>
      </c>
      <c r="R976" s="9">
        <f>IF(OR(Q976="",G976=""),"",G976-Q976)</f>
        <v/>
      </c>
      <c r="S976" s="9">
        <f>IF(R976="","",SUMIFS($R$2:$R$1001,$A$2:$A$1001,A976,$E$2:$E$1001,"&lt;="&amp;E976))</f>
        <v/>
      </c>
      <c r="T976" s="5">
        <f>IF(A976="","",IF(R976="","initial",IF(ABS(R976)&lt;=ShiftThresholdDays,"unchanged",IF(R976&gt;0,"delayed","accelerated"))))</f>
        <v/>
      </c>
    </row>
    <row r="977">
      <c r="A977" s="2" t="n"/>
      <c r="B977" s="2" t="n"/>
      <c r="C977" s="2" t="n"/>
      <c r="D977" s="2" t="n"/>
      <c r="E977" s="2" t="n"/>
      <c r="F977" s="2" t="n"/>
      <c r="G977" s="3" t="n"/>
      <c r="H977" s="2" t="n"/>
      <c r="I977" s="3" t="n"/>
      <c r="J977" s="2" t="n"/>
      <c r="K977" s="2" t="n"/>
      <c r="L977" s="2" t="n"/>
      <c r="M977" s="2" t="n"/>
      <c r="N977" s="2" t="n"/>
      <c r="O977" s="2" t="n"/>
      <c r="P977" s="2" t="n"/>
      <c r="Q977" s="4">
        <f>IF(OR(A977="",E977=""),"",IF(MAXIFS($E$2:$E$1001,$A$2:$A$1001,A977,$E$2:$E$1001,"&lt;"&amp;E977)=0,"",SUMIFS($G$2:$G$1001,$A$2:$A$1001,A977,$E$2:$E$1001,MAXIFS($E$2:$E$1001,$A$2:$A$1001,A977,$E$2:$E$1001,"&lt;"&amp;E977))))</f>
        <v/>
      </c>
      <c r="R977" s="9">
        <f>IF(OR(Q977="",G977=""),"",G977-Q977)</f>
        <v/>
      </c>
      <c r="S977" s="9">
        <f>IF(R977="","",SUMIFS($R$2:$R$1001,$A$2:$A$1001,A977,$E$2:$E$1001,"&lt;="&amp;E977))</f>
        <v/>
      </c>
      <c r="T977" s="5">
        <f>IF(A977="","",IF(R977="","initial",IF(ABS(R977)&lt;=ShiftThresholdDays,"unchanged",IF(R977&gt;0,"delayed","accelerated"))))</f>
        <v/>
      </c>
    </row>
    <row r="978">
      <c r="A978" s="2" t="n"/>
      <c r="B978" s="2" t="n"/>
      <c r="C978" s="2" t="n"/>
      <c r="D978" s="2" t="n"/>
      <c r="E978" s="2" t="n"/>
      <c r="F978" s="2" t="n"/>
      <c r="G978" s="3" t="n"/>
      <c r="H978" s="2" t="n"/>
      <c r="I978" s="3" t="n"/>
      <c r="J978" s="2" t="n"/>
      <c r="K978" s="2" t="n"/>
      <c r="L978" s="2" t="n"/>
      <c r="M978" s="2" t="n"/>
      <c r="N978" s="2" t="n"/>
      <c r="O978" s="2" t="n"/>
      <c r="P978" s="2" t="n"/>
      <c r="Q978" s="4">
        <f>IF(OR(A978="",E978=""),"",IF(MAXIFS($E$2:$E$1001,$A$2:$A$1001,A978,$E$2:$E$1001,"&lt;"&amp;E978)=0,"",SUMIFS($G$2:$G$1001,$A$2:$A$1001,A978,$E$2:$E$1001,MAXIFS($E$2:$E$1001,$A$2:$A$1001,A978,$E$2:$E$1001,"&lt;"&amp;E978))))</f>
        <v/>
      </c>
      <c r="R978" s="9">
        <f>IF(OR(Q978="",G978=""),"",G978-Q978)</f>
        <v/>
      </c>
      <c r="S978" s="9">
        <f>IF(R978="","",SUMIFS($R$2:$R$1001,$A$2:$A$1001,A978,$E$2:$E$1001,"&lt;="&amp;E978))</f>
        <v/>
      </c>
      <c r="T978" s="5">
        <f>IF(A978="","",IF(R978="","initial",IF(ABS(R978)&lt;=ShiftThresholdDays,"unchanged",IF(R978&gt;0,"delayed","accelerated"))))</f>
        <v/>
      </c>
    </row>
    <row r="979">
      <c r="A979" s="2" t="n"/>
      <c r="B979" s="2" t="n"/>
      <c r="C979" s="2" t="n"/>
      <c r="D979" s="2" t="n"/>
      <c r="E979" s="2" t="n"/>
      <c r="F979" s="2" t="n"/>
      <c r="G979" s="3" t="n"/>
      <c r="H979" s="2" t="n"/>
      <c r="I979" s="3" t="n"/>
      <c r="J979" s="2" t="n"/>
      <c r="K979" s="2" t="n"/>
      <c r="L979" s="2" t="n"/>
      <c r="M979" s="2" t="n"/>
      <c r="N979" s="2" t="n"/>
      <c r="O979" s="2" t="n"/>
      <c r="P979" s="2" t="n"/>
      <c r="Q979" s="4">
        <f>IF(OR(A979="",E979=""),"",IF(MAXIFS($E$2:$E$1001,$A$2:$A$1001,A979,$E$2:$E$1001,"&lt;"&amp;E979)=0,"",SUMIFS($G$2:$G$1001,$A$2:$A$1001,A979,$E$2:$E$1001,MAXIFS($E$2:$E$1001,$A$2:$A$1001,A979,$E$2:$E$1001,"&lt;"&amp;E979))))</f>
        <v/>
      </c>
      <c r="R979" s="9">
        <f>IF(OR(Q979="",G979=""),"",G979-Q979)</f>
        <v/>
      </c>
      <c r="S979" s="9">
        <f>IF(R979="","",SUMIFS($R$2:$R$1001,$A$2:$A$1001,A979,$E$2:$E$1001,"&lt;="&amp;E979))</f>
        <v/>
      </c>
      <c r="T979" s="5">
        <f>IF(A979="","",IF(R979="","initial",IF(ABS(R979)&lt;=ShiftThresholdDays,"unchanged",IF(R979&gt;0,"delayed","accelerated"))))</f>
        <v/>
      </c>
    </row>
    <row r="980">
      <c r="A980" s="2" t="n"/>
      <c r="B980" s="2" t="n"/>
      <c r="C980" s="2" t="n"/>
      <c r="D980" s="2" t="n"/>
      <c r="E980" s="2" t="n"/>
      <c r="F980" s="2" t="n"/>
      <c r="G980" s="3" t="n"/>
      <c r="H980" s="2" t="n"/>
      <c r="I980" s="3" t="n"/>
      <c r="J980" s="2" t="n"/>
      <c r="K980" s="2" t="n"/>
      <c r="L980" s="2" t="n"/>
      <c r="M980" s="2" t="n"/>
      <c r="N980" s="2" t="n"/>
      <c r="O980" s="2" t="n"/>
      <c r="P980" s="2" t="n"/>
      <c r="Q980" s="4">
        <f>IF(OR(A980="",E980=""),"",IF(MAXIFS($E$2:$E$1001,$A$2:$A$1001,A980,$E$2:$E$1001,"&lt;"&amp;E980)=0,"",SUMIFS($G$2:$G$1001,$A$2:$A$1001,A980,$E$2:$E$1001,MAXIFS($E$2:$E$1001,$A$2:$A$1001,A980,$E$2:$E$1001,"&lt;"&amp;E980))))</f>
        <v/>
      </c>
      <c r="R980" s="9">
        <f>IF(OR(Q980="",G980=""),"",G980-Q980)</f>
        <v/>
      </c>
      <c r="S980" s="9">
        <f>IF(R980="","",SUMIFS($R$2:$R$1001,$A$2:$A$1001,A980,$E$2:$E$1001,"&lt;="&amp;E980))</f>
        <v/>
      </c>
      <c r="T980" s="5">
        <f>IF(A980="","",IF(R980="","initial",IF(ABS(R980)&lt;=ShiftThresholdDays,"unchanged",IF(R980&gt;0,"delayed","accelerated"))))</f>
        <v/>
      </c>
    </row>
    <row r="981">
      <c r="A981" s="2" t="n"/>
      <c r="B981" s="2" t="n"/>
      <c r="C981" s="2" t="n"/>
      <c r="D981" s="2" t="n"/>
      <c r="E981" s="2" t="n"/>
      <c r="F981" s="2" t="n"/>
      <c r="G981" s="3" t="n"/>
      <c r="H981" s="2" t="n"/>
      <c r="I981" s="3" t="n"/>
      <c r="J981" s="2" t="n"/>
      <c r="K981" s="2" t="n"/>
      <c r="L981" s="2" t="n"/>
      <c r="M981" s="2" t="n"/>
      <c r="N981" s="2" t="n"/>
      <c r="O981" s="2" t="n"/>
      <c r="P981" s="2" t="n"/>
      <c r="Q981" s="4">
        <f>IF(OR(A981="",E981=""),"",IF(MAXIFS($E$2:$E$1001,$A$2:$A$1001,A981,$E$2:$E$1001,"&lt;"&amp;E981)=0,"",SUMIFS($G$2:$G$1001,$A$2:$A$1001,A981,$E$2:$E$1001,MAXIFS($E$2:$E$1001,$A$2:$A$1001,A981,$E$2:$E$1001,"&lt;"&amp;E981))))</f>
        <v/>
      </c>
      <c r="R981" s="9">
        <f>IF(OR(Q981="",G981=""),"",G981-Q981)</f>
        <v/>
      </c>
      <c r="S981" s="9">
        <f>IF(R981="","",SUMIFS($R$2:$R$1001,$A$2:$A$1001,A981,$E$2:$E$1001,"&lt;="&amp;E981))</f>
        <v/>
      </c>
      <c r="T981" s="5">
        <f>IF(A981="","",IF(R981="","initial",IF(ABS(R981)&lt;=ShiftThresholdDays,"unchanged",IF(R981&gt;0,"delayed","accelerated"))))</f>
        <v/>
      </c>
    </row>
    <row r="982">
      <c r="A982" s="2" t="n"/>
      <c r="B982" s="2" t="n"/>
      <c r="C982" s="2" t="n"/>
      <c r="D982" s="2" t="n"/>
      <c r="E982" s="2" t="n"/>
      <c r="F982" s="2" t="n"/>
      <c r="G982" s="3" t="n"/>
      <c r="H982" s="2" t="n"/>
      <c r="I982" s="3" t="n"/>
      <c r="J982" s="2" t="n"/>
      <c r="K982" s="2" t="n"/>
      <c r="L982" s="2" t="n"/>
      <c r="M982" s="2" t="n"/>
      <c r="N982" s="2" t="n"/>
      <c r="O982" s="2" t="n"/>
      <c r="P982" s="2" t="n"/>
      <c r="Q982" s="4">
        <f>IF(OR(A982="",E982=""),"",IF(MAXIFS($E$2:$E$1001,$A$2:$A$1001,A982,$E$2:$E$1001,"&lt;"&amp;E982)=0,"",SUMIFS($G$2:$G$1001,$A$2:$A$1001,A982,$E$2:$E$1001,MAXIFS($E$2:$E$1001,$A$2:$A$1001,A982,$E$2:$E$1001,"&lt;"&amp;E982))))</f>
        <v/>
      </c>
      <c r="R982" s="9">
        <f>IF(OR(Q982="",G982=""),"",G982-Q982)</f>
        <v/>
      </c>
      <c r="S982" s="9">
        <f>IF(R982="","",SUMIFS($R$2:$R$1001,$A$2:$A$1001,A982,$E$2:$E$1001,"&lt;="&amp;E982))</f>
        <v/>
      </c>
      <c r="T982" s="5">
        <f>IF(A982="","",IF(R982="","initial",IF(ABS(R982)&lt;=ShiftThresholdDays,"unchanged",IF(R982&gt;0,"delayed","accelerated"))))</f>
        <v/>
      </c>
    </row>
    <row r="983">
      <c r="A983" s="2" t="n"/>
      <c r="B983" s="2" t="n"/>
      <c r="C983" s="2" t="n"/>
      <c r="D983" s="2" t="n"/>
      <c r="E983" s="2" t="n"/>
      <c r="F983" s="2" t="n"/>
      <c r="G983" s="3" t="n"/>
      <c r="H983" s="2" t="n"/>
      <c r="I983" s="3" t="n"/>
      <c r="J983" s="2" t="n"/>
      <c r="K983" s="2" t="n"/>
      <c r="L983" s="2" t="n"/>
      <c r="M983" s="2" t="n"/>
      <c r="N983" s="2" t="n"/>
      <c r="O983" s="2" t="n"/>
      <c r="P983" s="2" t="n"/>
      <c r="Q983" s="4">
        <f>IF(OR(A983="",E983=""),"",IF(MAXIFS($E$2:$E$1001,$A$2:$A$1001,A983,$E$2:$E$1001,"&lt;"&amp;E983)=0,"",SUMIFS($G$2:$G$1001,$A$2:$A$1001,A983,$E$2:$E$1001,MAXIFS($E$2:$E$1001,$A$2:$A$1001,A983,$E$2:$E$1001,"&lt;"&amp;E983))))</f>
        <v/>
      </c>
      <c r="R983" s="9">
        <f>IF(OR(Q983="",G983=""),"",G983-Q983)</f>
        <v/>
      </c>
      <c r="S983" s="9">
        <f>IF(R983="","",SUMIFS($R$2:$R$1001,$A$2:$A$1001,A983,$E$2:$E$1001,"&lt;="&amp;E983))</f>
        <v/>
      </c>
      <c r="T983" s="5">
        <f>IF(A983="","",IF(R983="","initial",IF(ABS(R983)&lt;=ShiftThresholdDays,"unchanged",IF(R983&gt;0,"delayed","accelerated"))))</f>
        <v/>
      </c>
    </row>
    <row r="984">
      <c r="A984" s="2" t="n"/>
      <c r="B984" s="2" t="n"/>
      <c r="C984" s="2" t="n"/>
      <c r="D984" s="2" t="n"/>
      <c r="E984" s="2" t="n"/>
      <c r="F984" s="2" t="n"/>
      <c r="G984" s="3" t="n"/>
      <c r="H984" s="2" t="n"/>
      <c r="I984" s="3" t="n"/>
      <c r="J984" s="2" t="n"/>
      <c r="K984" s="2" t="n"/>
      <c r="L984" s="2" t="n"/>
      <c r="M984" s="2" t="n"/>
      <c r="N984" s="2" t="n"/>
      <c r="O984" s="2" t="n"/>
      <c r="P984" s="2" t="n"/>
      <c r="Q984" s="4">
        <f>IF(OR(A984="",E984=""),"",IF(MAXIFS($E$2:$E$1001,$A$2:$A$1001,A984,$E$2:$E$1001,"&lt;"&amp;E984)=0,"",SUMIFS($G$2:$G$1001,$A$2:$A$1001,A984,$E$2:$E$1001,MAXIFS($E$2:$E$1001,$A$2:$A$1001,A984,$E$2:$E$1001,"&lt;"&amp;E984))))</f>
        <v/>
      </c>
      <c r="R984" s="9">
        <f>IF(OR(Q984="",G984=""),"",G984-Q984)</f>
        <v/>
      </c>
      <c r="S984" s="9">
        <f>IF(R984="","",SUMIFS($R$2:$R$1001,$A$2:$A$1001,A984,$E$2:$E$1001,"&lt;="&amp;E984))</f>
        <v/>
      </c>
      <c r="T984" s="5">
        <f>IF(A984="","",IF(R984="","initial",IF(ABS(R984)&lt;=ShiftThresholdDays,"unchanged",IF(R984&gt;0,"delayed","accelerated"))))</f>
        <v/>
      </c>
    </row>
    <row r="985">
      <c r="A985" s="2" t="n"/>
      <c r="B985" s="2" t="n"/>
      <c r="C985" s="2" t="n"/>
      <c r="D985" s="2" t="n"/>
      <c r="E985" s="2" t="n"/>
      <c r="F985" s="2" t="n"/>
      <c r="G985" s="3" t="n"/>
      <c r="H985" s="2" t="n"/>
      <c r="I985" s="3" t="n"/>
      <c r="J985" s="2" t="n"/>
      <c r="K985" s="2" t="n"/>
      <c r="L985" s="2" t="n"/>
      <c r="M985" s="2" t="n"/>
      <c r="N985" s="2" t="n"/>
      <c r="O985" s="2" t="n"/>
      <c r="P985" s="2" t="n"/>
      <c r="Q985" s="4">
        <f>IF(OR(A985="",E985=""),"",IF(MAXIFS($E$2:$E$1001,$A$2:$A$1001,A985,$E$2:$E$1001,"&lt;"&amp;E985)=0,"",SUMIFS($G$2:$G$1001,$A$2:$A$1001,A985,$E$2:$E$1001,MAXIFS($E$2:$E$1001,$A$2:$A$1001,A985,$E$2:$E$1001,"&lt;"&amp;E985))))</f>
        <v/>
      </c>
      <c r="R985" s="9">
        <f>IF(OR(Q985="",G985=""),"",G985-Q985)</f>
        <v/>
      </c>
      <c r="S985" s="9">
        <f>IF(R985="","",SUMIFS($R$2:$R$1001,$A$2:$A$1001,A985,$E$2:$E$1001,"&lt;="&amp;E985))</f>
        <v/>
      </c>
      <c r="T985" s="5">
        <f>IF(A985="","",IF(R985="","initial",IF(ABS(R985)&lt;=ShiftThresholdDays,"unchanged",IF(R985&gt;0,"delayed","accelerated"))))</f>
        <v/>
      </c>
    </row>
    <row r="986">
      <c r="A986" s="2" t="n"/>
      <c r="B986" s="2" t="n"/>
      <c r="C986" s="2" t="n"/>
      <c r="D986" s="2" t="n"/>
      <c r="E986" s="2" t="n"/>
      <c r="F986" s="2" t="n"/>
      <c r="G986" s="3" t="n"/>
      <c r="H986" s="2" t="n"/>
      <c r="I986" s="3" t="n"/>
      <c r="J986" s="2" t="n"/>
      <c r="K986" s="2" t="n"/>
      <c r="L986" s="2" t="n"/>
      <c r="M986" s="2" t="n"/>
      <c r="N986" s="2" t="n"/>
      <c r="O986" s="2" t="n"/>
      <c r="P986" s="2" t="n"/>
      <c r="Q986" s="4">
        <f>IF(OR(A986="",E986=""),"",IF(MAXIFS($E$2:$E$1001,$A$2:$A$1001,A986,$E$2:$E$1001,"&lt;"&amp;E986)=0,"",SUMIFS($G$2:$G$1001,$A$2:$A$1001,A986,$E$2:$E$1001,MAXIFS($E$2:$E$1001,$A$2:$A$1001,A986,$E$2:$E$1001,"&lt;"&amp;E986))))</f>
        <v/>
      </c>
      <c r="R986" s="9">
        <f>IF(OR(Q986="",G986=""),"",G986-Q986)</f>
        <v/>
      </c>
      <c r="S986" s="9">
        <f>IF(R986="","",SUMIFS($R$2:$R$1001,$A$2:$A$1001,A986,$E$2:$E$1001,"&lt;="&amp;E986))</f>
        <v/>
      </c>
      <c r="T986" s="5">
        <f>IF(A986="","",IF(R986="","initial",IF(ABS(R986)&lt;=ShiftThresholdDays,"unchanged",IF(R986&gt;0,"delayed","accelerated"))))</f>
        <v/>
      </c>
    </row>
    <row r="987">
      <c r="A987" s="2" t="n"/>
      <c r="B987" s="2" t="n"/>
      <c r="C987" s="2" t="n"/>
      <c r="D987" s="2" t="n"/>
      <c r="E987" s="2" t="n"/>
      <c r="F987" s="2" t="n"/>
      <c r="G987" s="3" t="n"/>
      <c r="H987" s="2" t="n"/>
      <c r="I987" s="3" t="n"/>
      <c r="J987" s="2" t="n"/>
      <c r="K987" s="2" t="n"/>
      <c r="L987" s="2" t="n"/>
      <c r="M987" s="2" t="n"/>
      <c r="N987" s="2" t="n"/>
      <c r="O987" s="2" t="n"/>
      <c r="P987" s="2" t="n"/>
      <c r="Q987" s="4">
        <f>IF(OR(A987="",E987=""),"",IF(MAXIFS($E$2:$E$1001,$A$2:$A$1001,A987,$E$2:$E$1001,"&lt;"&amp;E987)=0,"",SUMIFS($G$2:$G$1001,$A$2:$A$1001,A987,$E$2:$E$1001,MAXIFS($E$2:$E$1001,$A$2:$A$1001,A987,$E$2:$E$1001,"&lt;"&amp;E987))))</f>
        <v/>
      </c>
      <c r="R987" s="9">
        <f>IF(OR(Q987="",G987=""),"",G987-Q987)</f>
        <v/>
      </c>
      <c r="S987" s="9">
        <f>IF(R987="","",SUMIFS($R$2:$R$1001,$A$2:$A$1001,A987,$E$2:$E$1001,"&lt;="&amp;E987))</f>
        <v/>
      </c>
      <c r="T987" s="5">
        <f>IF(A987="","",IF(R987="","initial",IF(ABS(R987)&lt;=ShiftThresholdDays,"unchanged",IF(R987&gt;0,"delayed","accelerated"))))</f>
        <v/>
      </c>
    </row>
    <row r="988">
      <c r="A988" s="2" t="n"/>
      <c r="B988" s="2" t="n"/>
      <c r="C988" s="2" t="n"/>
      <c r="D988" s="2" t="n"/>
      <c r="E988" s="2" t="n"/>
      <c r="F988" s="2" t="n"/>
      <c r="G988" s="3" t="n"/>
      <c r="H988" s="2" t="n"/>
      <c r="I988" s="3" t="n"/>
      <c r="J988" s="2" t="n"/>
      <c r="K988" s="2" t="n"/>
      <c r="L988" s="2" t="n"/>
      <c r="M988" s="2" t="n"/>
      <c r="N988" s="2" t="n"/>
      <c r="O988" s="2" t="n"/>
      <c r="P988" s="2" t="n"/>
      <c r="Q988" s="4">
        <f>IF(OR(A988="",E988=""),"",IF(MAXIFS($E$2:$E$1001,$A$2:$A$1001,A988,$E$2:$E$1001,"&lt;"&amp;E988)=0,"",SUMIFS($G$2:$G$1001,$A$2:$A$1001,A988,$E$2:$E$1001,MAXIFS($E$2:$E$1001,$A$2:$A$1001,A988,$E$2:$E$1001,"&lt;"&amp;E988))))</f>
        <v/>
      </c>
      <c r="R988" s="9">
        <f>IF(OR(Q988="",G988=""),"",G988-Q988)</f>
        <v/>
      </c>
      <c r="S988" s="9">
        <f>IF(R988="","",SUMIFS($R$2:$R$1001,$A$2:$A$1001,A988,$E$2:$E$1001,"&lt;="&amp;E988))</f>
        <v/>
      </c>
      <c r="T988" s="5">
        <f>IF(A988="","",IF(R988="","initial",IF(ABS(R988)&lt;=ShiftThresholdDays,"unchanged",IF(R988&gt;0,"delayed","accelerated"))))</f>
        <v/>
      </c>
    </row>
    <row r="989">
      <c r="A989" s="2" t="n"/>
      <c r="B989" s="2" t="n"/>
      <c r="C989" s="2" t="n"/>
      <c r="D989" s="2" t="n"/>
      <c r="E989" s="2" t="n"/>
      <c r="F989" s="2" t="n"/>
      <c r="G989" s="3" t="n"/>
      <c r="H989" s="2" t="n"/>
      <c r="I989" s="3" t="n"/>
      <c r="J989" s="2" t="n"/>
      <c r="K989" s="2" t="n"/>
      <c r="L989" s="2" t="n"/>
      <c r="M989" s="2" t="n"/>
      <c r="N989" s="2" t="n"/>
      <c r="O989" s="2" t="n"/>
      <c r="P989" s="2" t="n"/>
      <c r="Q989" s="4">
        <f>IF(OR(A989="",E989=""),"",IF(MAXIFS($E$2:$E$1001,$A$2:$A$1001,A989,$E$2:$E$1001,"&lt;"&amp;E989)=0,"",SUMIFS($G$2:$G$1001,$A$2:$A$1001,A989,$E$2:$E$1001,MAXIFS($E$2:$E$1001,$A$2:$A$1001,A989,$E$2:$E$1001,"&lt;"&amp;E989))))</f>
        <v/>
      </c>
      <c r="R989" s="9">
        <f>IF(OR(Q989="",G989=""),"",G989-Q989)</f>
        <v/>
      </c>
      <c r="S989" s="9">
        <f>IF(R989="","",SUMIFS($R$2:$R$1001,$A$2:$A$1001,A989,$E$2:$E$1001,"&lt;="&amp;E989))</f>
        <v/>
      </c>
      <c r="T989" s="5">
        <f>IF(A989="","",IF(R989="","initial",IF(ABS(R989)&lt;=ShiftThresholdDays,"unchanged",IF(R989&gt;0,"delayed","accelerated"))))</f>
        <v/>
      </c>
    </row>
    <row r="990">
      <c r="A990" s="2" t="n"/>
      <c r="B990" s="2" t="n"/>
      <c r="C990" s="2" t="n"/>
      <c r="D990" s="2" t="n"/>
      <c r="E990" s="2" t="n"/>
      <c r="F990" s="2" t="n"/>
      <c r="G990" s="3" t="n"/>
      <c r="H990" s="2" t="n"/>
      <c r="I990" s="3" t="n"/>
      <c r="J990" s="2" t="n"/>
      <c r="K990" s="2" t="n"/>
      <c r="L990" s="2" t="n"/>
      <c r="M990" s="2" t="n"/>
      <c r="N990" s="2" t="n"/>
      <c r="O990" s="2" t="n"/>
      <c r="P990" s="2" t="n"/>
      <c r="Q990" s="4">
        <f>IF(OR(A990="",E990=""),"",IF(MAXIFS($E$2:$E$1001,$A$2:$A$1001,A990,$E$2:$E$1001,"&lt;"&amp;E990)=0,"",SUMIFS($G$2:$G$1001,$A$2:$A$1001,A990,$E$2:$E$1001,MAXIFS($E$2:$E$1001,$A$2:$A$1001,A990,$E$2:$E$1001,"&lt;"&amp;E990))))</f>
        <v/>
      </c>
      <c r="R990" s="9">
        <f>IF(OR(Q990="",G990=""),"",G990-Q990)</f>
        <v/>
      </c>
      <c r="S990" s="9">
        <f>IF(R990="","",SUMIFS($R$2:$R$1001,$A$2:$A$1001,A990,$E$2:$E$1001,"&lt;="&amp;E990))</f>
        <v/>
      </c>
      <c r="T990" s="5">
        <f>IF(A990="","",IF(R990="","initial",IF(ABS(R990)&lt;=ShiftThresholdDays,"unchanged",IF(R990&gt;0,"delayed","accelerated"))))</f>
        <v/>
      </c>
    </row>
    <row r="991">
      <c r="A991" s="2" t="n"/>
      <c r="B991" s="2" t="n"/>
      <c r="C991" s="2" t="n"/>
      <c r="D991" s="2" t="n"/>
      <c r="E991" s="2" t="n"/>
      <c r="F991" s="2" t="n"/>
      <c r="G991" s="3" t="n"/>
      <c r="H991" s="2" t="n"/>
      <c r="I991" s="3" t="n"/>
      <c r="J991" s="2" t="n"/>
      <c r="K991" s="2" t="n"/>
      <c r="L991" s="2" t="n"/>
      <c r="M991" s="2" t="n"/>
      <c r="N991" s="2" t="n"/>
      <c r="O991" s="2" t="n"/>
      <c r="P991" s="2" t="n"/>
      <c r="Q991" s="4">
        <f>IF(OR(A991="",E991=""),"",IF(MAXIFS($E$2:$E$1001,$A$2:$A$1001,A991,$E$2:$E$1001,"&lt;"&amp;E991)=0,"",SUMIFS($G$2:$G$1001,$A$2:$A$1001,A991,$E$2:$E$1001,MAXIFS($E$2:$E$1001,$A$2:$A$1001,A991,$E$2:$E$1001,"&lt;"&amp;E991))))</f>
        <v/>
      </c>
      <c r="R991" s="9">
        <f>IF(OR(Q991="",G991=""),"",G991-Q991)</f>
        <v/>
      </c>
      <c r="S991" s="9">
        <f>IF(R991="","",SUMIFS($R$2:$R$1001,$A$2:$A$1001,A991,$E$2:$E$1001,"&lt;="&amp;E991))</f>
        <v/>
      </c>
      <c r="T991" s="5">
        <f>IF(A991="","",IF(R991="","initial",IF(ABS(R991)&lt;=ShiftThresholdDays,"unchanged",IF(R991&gt;0,"delayed","accelerated"))))</f>
        <v/>
      </c>
    </row>
    <row r="992">
      <c r="A992" s="2" t="n"/>
      <c r="B992" s="2" t="n"/>
      <c r="C992" s="2" t="n"/>
      <c r="D992" s="2" t="n"/>
      <c r="E992" s="2" t="n"/>
      <c r="F992" s="2" t="n"/>
      <c r="G992" s="3" t="n"/>
      <c r="H992" s="2" t="n"/>
      <c r="I992" s="3" t="n"/>
      <c r="J992" s="2" t="n"/>
      <c r="K992" s="2" t="n"/>
      <c r="L992" s="2" t="n"/>
      <c r="M992" s="2" t="n"/>
      <c r="N992" s="2" t="n"/>
      <c r="O992" s="2" t="n"/>
      <c r="P992" s="2" t="n"/>
      <c r="Q992" s="4">
        <f>IF(OR(A992="",E992=""),"",IF(MAXIFS($E$2:$E$1001,$A$2:$A$1001,A992,$E$2:$E$1001,"&lt;"&amp;E992)=0,"",SUMIFS($G$2:$G$1001,$A$2:$A$1001,A992,$E$2:$E$1001,MAXIFS($E$2:$E$1001,$A$2:$A$1001,A992,$E$2:$E$1001,"&lt;"&amp;E992))))</f>
        <v/>
      </c>
      <c r="R992" s="9">
        <f>IF(OR(Q992="",G992=""),"",G992-Q992)</f>
        <v/>
      </c>
      <c r="S992" s="9">
        <f>IF(R992="","",SUMIFS($R$2:$R$1001,$A$2:$A$1001,A992,$E$2:$E$1001,"&lt;="&amp;E992))</f>
        <v/>
      </c>
      <c r="T992" s="5">
        <f>IF(A992="","",IF(R992="","initial",IF(ABS(R992)&lt;=ShiftThresholdDays,"unchanged",IF(R992&gt;0,"delayed","accelerated"))))</f>
        <v/>
      </c>
    </row>
    <row r="993">
      <c r="A993" s="2" t="n"/>
      <c r="B993" s="2" t="n"/>
      <c r="C993" s="2" t="n"/>
      <c r="D993" s="2" t="n"/>
      <c r="E993" s="2" t="n"/>
      <c r="F993" s="2" t="n"/>
      <c r="G993" s="3" t="n"/>
      <c r="H993" s="2" t="n"/>
      <c r="I993" s="3" t="n"/>
      <c r="J993" s="2" t="n"/>
      <c r="K993" s="2" t="n"/>
      <c r="L993" s="2" t="n"/>
      <c r="M993" s="2" t="n"/>
      <c r="N993" s="2" t="n"/>
      <c r="O993" s="2" t="n"/>
      <c r="P993" s="2" t="n"/>
      <c r="Q993" s="4">
        <f>IF(OR(A993="",E993=""),"",IF(MAXIFS($E$2:$E$1001,$A$2:$A$1001,A993,$E$2:$E$1001,"&lt;"&amp;E993)=0,"",SUMIFS($G$2:$G$1001,$A$2:$A$1001,A993,$E$2:$E$1001,MAXIFS($E$2:$E$1001,$A$2:$A$1001,A993,$E$2:$E$1001,"&lt;"&amp;E993))))</f>
        <v/>
      </c>
      <c r="R993" s="9">
        <f>IF(OR(Q993="",G993=""),"",G993-Q993)</f>
        <v/>
      </c>
      <c r="S993" s="9">
        <f>IF(R993="","",SUMIFS($R$2:$R$1001,$A$2:$A$1001,A993,$E$2:$E$1001,"&lt;="&amp;E993))</f>
        <v/>
      </c>
      <c r="T993" s="5">
        <f>IF(A993="","",IF(R993="","initial",IF(ABS(R993)&lt;=ShiftThresholdDays,"unchanged",IF(R993&gt;0,"delayed","accelerated"))))</f>
        <v/>
      </c>
    </row>
    <row r="994">
      <c r="A994" s="2" t="n"/>
      <c r="B994" s="2" t="n"/>
      <c r="C994" s="2" t="n"/>
      <c r="D994" s="2" t="n"/>
      <c r="E994" s="2" t="n"/>
      <c r="F994" s="2" t="n"/>
      <c r="G994" s="3" t="n"/>
      <c r="H994" s="2" t="n"/>
      <c r="I994" s="3" t="n"/>
      <c r="J994" s="2" t="n"/>
      <c r="K994" s="2" t="n"/>
      <c r="L994" s="2" t="n"/>
      <c r="M994" s="2" t="n"/>
      <c r="N994" s="2" t="n"/>
      <c r="O994" s="2" t="n"/>
      <c r="P994" s="2" t="n"/>
      <c r="Q994" s="4">
        <f>IF(OR(A994="",E994=""),"",IF(MAXIFS($E$2:$E$1001,$A$2:$A$1001,A994,$E$2:$E$1001,"&lt;"&amp;E994)=0,"",SUMIFS($G$2:$G$1001,$A$2:$A$1001,A994,$E$2:$E$1001,MAXIFS($E$2:$E$1001,$A$2:$A$1001,A994,$E$2:$E$1001,"&lt;"&amp;E994))))</f>
        <v/>
      </c>
      <c r="R994" s="9">
        <f>IF(OR(Q994="",G994=""),"",G994-Q994)</f>
        <v/>
      </c>
      <c r="S994" s="9">
        <f>IF(R994="","",SUMIFS($R$2:$R$1001,$A$2:$A$1001,A994,$E$2:$E$1001,"&lt;="&amp;E994))</f>
        <v/>
      </c>
      <c r="T994" s="5">
        <f>IF(A994="","",IF(R994="","initial",IF(ABS(R994)&lt;=ShiftThresholdDays,"unchanged",IF(R994&gt;0,"delayed","accelerated"))))</f>
        <v/>
      </c>
    </row>
    <row r="995">
      <c r="A995" s="2" t="n"/>
      <c r="B995" s="2" t="n"/>
      <c r="C995" s="2" t="n"/>
      <c r="D995" s="2" t="n"/>
      <c r="E995" s="2" t="n"/>
      <c r="F995" s="2" t="n"/>
      <c r="G995" s="3" t="n"/>
      <c r="H995" s="2" t="n"/>
      <c r="I995" s="3" t="n"/>
      <c r="J995" s="2" t="n"/>
      <c r="K995" s="2" t="n"/>
      <c r="L995" s="2" t="n"/>
      <c r="M995" s="2" t="n"/>
      <c r="N995" s="2" t="n"/>
      <c r="O995" s="2" t="n"/>
      <c r="P995" s="2" t="n"/>
      <c r="Q995" s="4">
        <f>IF(OR(A995="",E995=""),"",IF(MAXIFS($E$2:$E$1001,$A$2:$A$1001,A995,$E$2:$E$1001,"&lt;"&amp;E995)=0,"",SUMIFS($G$2:$G$1001,$A$2:$A$1001,A995,$E$2:$E$1001,MAXIFS($E$2:$E$1001,$A$2:$A$1001,A995,$E$2:$E$1001,"&lt;"&amp;E995))))</f>
        <v/>
      </c>
      <c r="R995" s="9">
        <f>IF(OR(Q995="",G995=""),"",G995-Q995)</f>
        <v/>
      </c>
      <c r="S995" s="9">
        <f>IF(R995="","",SUMIFS($R$2:$R$1001,$A$2:$A$1001,A995,$E$2:$E$1001,"&lt;="&amp;E995))</f>
        <v/>
      </c>
      <c r="T995" s="5">
        <f>IF(A995="","",IF(R995="","initial",IF(ABS(R995)&lt;=ShiftThresholdDays,"unchanged",IF(R995&gt;0,"delayed","accelerated"))))</f>
        <v/>
      </c>
    </row>
    <row r="996">
      <c r="A996" s="2" t="n"/>
      <c r="B996" s="2" t="n"/>
      <c r="C996" s="2" t="n"/>
      <c r="D996" s="2" t="n"/>
      <c r="E996" s="2" t="n"/>
      <c r="F996" s="2" t="n"/>
      <c r="G996" s="3" t="n"/>
      <c r="H996" s="2" t="n"/>
      <c r="I996" s="3" t="n"/>
      <c r="J996" s="2" t="n"/>
      <c r="K996" s="2" t="n"/>
      <c r="L996" s="2" t="n"/>
      <c r="M996" s="2" t="n"/>
      <c r="N996" s="2" t="n"/>
      <c r="O996" s="2" t="n"/>
      <c r="P996" s="2" t="n"/>
      <c r="Q996" s="4">
        <f>IF(OR(A996="",E996=""),"",IF(MAXIFS($E$2:$E$1001,$A$2:$A$1001,A996,$E$2:$E$1001,"&lt;"&amp;E996)=0,"",SUMIFS($G$2:$G$1001,$A$2:$A$1001,A996,$E$2:$E$1001,MAXIFS($E$2:$E$1001,$A$2:$A$1001,A996,$E$2:$E$1001,"&lt;"&amp;E996))))</f>
        <v/>
      </c>
      <c r="R996" s="9">
        <f>IF(OR(Q996="",G996=""),"",G996-Q996)</f>
        <v/>
      </c>
      <c r="S996" s="9">
        <f>IF(R996="","",SUMIFS($R$2:$R$1001,$A$2:$A$1001,A996,$E$2:$E$1001,"&lt;="&amp;E996))</f>
        <v/>
      </c>
      <c r="T996" s="5">
        <f>IF(A996="","",IF(R996="","initial",IF(ABS(R996)&lt;=ShiftThresholdDays,"unchanged",IF(R996&gt;0,"delayed","accelerated"))))</f>
        <v/>
      </c>
    </row>
    <row r="997">
      <c r="A997" s="2" t="n"/>
      <c r="B997" s="2" t="n"/>
      <c r="C997" s="2" t="n"/>
      <c r="D997" s="2" t="n"/>
      <c r="E997" s="2" t="n"/>
      <c r="F997" s="2" t="n"/>
      <c r="G997" s="3" t="n"/>
      <c r="H997" s="2" t="n"/>
      <c r="I997" s="3" t="n"/>
      <c r="J997" s="2" t="n"/>
      <c r="K997" s="2" t="n"/>
      <c r="L997" s="2" t="n"/>
      <c r="M997" s="2" t="n"/>
      <c r="N997" s="2" t="n"/>
      <c r="O997" s="2" t="n"/>
      <c r="P997" s="2" t="n"/>
      <c r="Q997" s="4">
        <f>IF(OR(A997="",E997=""),"",IF(MAXIFS($E$2:$E$1001,$A$2:$A$1001,A997,$E$2:$E$1001,"&lt;"&amp;E997)=0,"",SUMIFS($G$2:$G$1001,$A$2:$A$1001,A997,$E$2:$E$1001,MAXIFS($E$2:$E$1001,$A$2:$A$1001,A997,$E$2:$E$1001,"&lt;"&amp;E997))))</f>
        <v/>
      </c>
      <c r="R997" s="9">
        <f>IF(OR(Q997="",G997=""),"",G997-Q997)</f>
        <v/>
      </c>
      <c r="S997" s="9">
        <f>IF(R997="","",SUMIFS($R$2:$R$1001,$A$2:$A$1001,A997,$E$2:$E$1001,"&lt;="&amp;E997))</f>
        <v/>
      </c>
      <c r="T997" s="5">
        <f>IF(A997="","",IF(R997="","initial",IF(ABS(R997)&lt;=ShiftThresholdDays,"unchanged",IF(R997&gt;0,"delayed","accelerated"))))</f>
        <v/>
      </c>
    </row>
    <row r="998">
      <c r="A998" s="2" t="n"/>
      <c r="B998" s="2" t="n"/>
      <c r="C998" s="2" t="n"/>
      <c r="D998" s="2" t="n"/>
      <c r="E998" s="2" t="n"/>
      <c r="F998" s="2" t="n"/>
      <c r="G998" s="3" t="n"/>
      <c r="H998" s="2" t="n"/>
      <c r="I998" s="3" t="n"/>
      <c r="J998" s="2" t="n"/>
      <c r="K998" s="2" t="n"/>
      <c r="L998" s="2" t="n"/>
      <c r="M998" s="2" t="n"/>
      <c r="N998" s="2" t="n"/>
      <c r="O998" s="2" t="n"/>
      <c r="P998" s="2" t="n"/>
      <c r="Q998" s="4">
        <f>IF(OR(A998="",E998=""),"",IF(MAXIFS($E$2:$E$1001,$A$2:$A$1001,A998,$E$2:$E$1001,"&lt;"&amp;E998)=0,"",SUMIFS($G$2:$G$1001,$A$2:$A$1001,A998,$E$2:$E$1001,MAXIFS($E$2:$E$1001,$A$2:$A$1001,A998,$E$2:$E$1001,"&lt;"&amp;E998))))</f>
        <v/>
      </c>
      <c r="R998" s="9">
        <f>IF(OR(Q998="",G998=""),"",G998-Q998)</f>
        <v/>
      </c>
      <c r="S998" s="9">
        <f>IF(R998="","",SUMIFS($R$2:$R$1001,$A$2:$A$1001,A998,$E$2:$E$1001,"&lt;="&amp;E998))</f>
        <v/>
      </c>
      <c r="T998" s="5">
        <f>IF(A998="","",IF(R998="","initial",IF(ABS(R998)&lt;=ShiftThresholdDays,"unchanged",IF(R998&gt;0,"delayed","accelerated"))))</f>
        <v/>
      </c>
    </row>
    <row r="999">
      <c r="A999" s="2" t="n"/>
      <c r="B999" s="2" t="n"/>
      <c r="C999" s="2" t="n"/>
      <c r="D999" s="2" t="n"/>
      <c r="E999" s="2" t="n"/>
      <c r="F999" s="2" t="n"/>
      <c r="G999" s="3" t="n"/>
      <c r="H999" s="2" t="n"/>
      <c r="I999" s="3" t="n"/>
      <c r="J999" s="2" t="n"/>
      <c r="K999" s="2" t="n"/>
      <c r="L999" s="2" t="n"/>
      <c r="M999" s="2" t="n"/>
      <c r="N999" s="2" t="n"/>
      <c r="O999" s="2" t="n"/>
      <c r="P999" s="2" t="n"/>
      <c r="Q999" s="4">
        <f>IF(OR(A999="",E999=""),"",IF(MAXIFS($E$2:$E$1001,$A$2:$A$1001,A999,$E$2:$E$1001,"&lt;"&amp;E999)=0,"",SUMIFS($G$2:$G$1001,$A$2:$A$1001,A999,$E$2:$E$1001,MAXIFS($E$2:$E$1001,$A$2:$A$1001,A999,$E$2:$E$1001,"&lt;"&amp;E999))))</f>
        <v/>
      </c>
      <c r="R999" s="9">
        <f>IF(OR(Q999="",G999=""),"",G999-Q999)</f>
        <v/>
      </c>
      <c r="S999" s="9">
        <f>IF(R999="","",SUMIFS($R$2:$R$1001,$A$2:$A$1001,A999,$E$2:$E$1001,"&lt;="&amp;E999))</f>
        <v/>
      </c>
      <c r="T999" s="5">
        <f>IF(A999="","",IF(R999="","initial",IF(ABS(R999)&lt;=ShiftThresholdDays,"unchanged",IF(R999&gt;0,"delayed","accelerated"))))</f>
        <v/>
      </c>
    </row>
    <row r="1000">
      <c r="A1000" s="2" t="n"/>
      <c r="B1000" s="2" t="n"/>
      <c r="C1000" s="2" t="n"/>
      <c r="D1000" s="2" t="n"/>
      <c r="E1000" s="2" t="n"/>
      <c r="F1000" s="2" t="n"/>
      <c r="G1000" s="3" t="n"/>
      <c r="H1000" s="2" t="n"/>
      <c r="I1000" s="3" t="n"/>
      <c r="J1000" s="2" t="n"/>
      <c r="K1000" s="2" t="n"/>
      <c r="L1000" s="2" t="n"/>
      <c r="M1000" s="2" t="n"/>
      <c r="N1000" s="2" t="n"/>
      <c r="O1000" s="2" t="n"/>
      <c r="P1000" s="2" t="n"/>
      <c r="Q1000" s="4">
        <f>IF(OR(A1000="",E1000=""),"",IF(MAXIFS($E$2:$E$1001,$A$2:$A$1001,A1000,$E$2:$E$1001,"&lt;"&amp;E1000)=0,"",SUMIFS($G$2:$G$1001,$A$2:$A$1001,A1000,$E$2:$E$1001,MAXIFS($E$2:$E$1001,$A$2:$A$1001,A1000,$E$2:$E$1001,"&lt;"&amp;E1000))))</f>
        <v/>
      </c>
      <c r="R1000" s="9">
        <f>IF(OR(Q1000="",G1000=""),"",G1000-Q1000)</f>
        <v/>
      </c>
      <c r="S1000" s="9">
        <f>IF(R1000="","",SUMIFS($R$2:$R$1001,$A$2:$A$1001,A1000,$E$2:$E$1001,"&lt;="&amp;E1000))</f>
        <v/>
      </c>
      <c r="T1000" s="5">
        <f>IF(A1000="","",IF(R1000="","initial",IF(ABS(R1000)&lt;=ShiftThresholdDays,"unchanged",IF(R1000&gt;0,"delayed","accelerated"))))</f>
        <v/>
      </c>
    </row>
    <row r="1001">
      <c r="A1001" s="2" t="n"/>
      <c r="B1001" s="2" t="n"/>
      <c r="C1001" s="2" t="n"/>
      <c r="D1001" s="2" t="n"/>
      <c r="E1001" s="2" t="n"/>
      <c r="F1001" s="2" t="n"/>
      <c r="G1001" s="3" t="n"/>
      <c r="H1001" s="2" t="n"/>
      <c r="I1001" s="3" t="n"/>
      <c r="J1001" s="2" t="n"/>
      <c r="K1001" s="2" t="n"/>
      <c r="L1001" s="2" t="n"/>
      <c r="M1001" s="2" t="n"/>
      <c r="N1001" s="2" t="n"/>
      <c r="O1001" s="2" t="n"/>
      <c r="P1001" s="2" t="n"/>
      <c r="Q1001" s="4">
        <f>IF(OR(A1001="",E1001=""),"",IF(MAXIFS($E$2:$E$1001,$A$2:$A$1001,A1001,$E$2:$E$1001,"&lt;"&amp;E1001)=0,"",SUMIFS($G$2:$G$1001,$A$2:$A$1001,A1001,$E$2:$E$1001,MAXIFS($E$2:$E$1001,$A$2:$A$1001,A1001,$E$2:$E$1001,"&lt;"&amp;E1001))))</f>
        <v/>
      </c>
      <c r="R1001" s="9">
        <f>IF(OR(Q1001="",G1001=""),"",G1001-Q1001)</f>
        <v/>
      </c>
      <c r="S1001" s="9">
        <f>IF(R1001="","",SUMIFS($R$2:$R$1001,$A$2:$A$1001,A1001,$E$2:$E$1001,"&lt;="&amp;E1001))</f>
        <v/>
      </c>
      <c r="T1001" s="5">
        <f>IF(A1001="","",IF(R1001="","initial",IF(ABS(R1001)&lt;=ShiftThresholdDays,"unchanged",IF(R1001&gt;0,"delayed","accelerated"))))</f>
        <v/>
      </c>
    </row>
  </sheetData>
  <autoFilter ref="A1:T1001"/>
  <dataValidations count="3">
    <dataValidation sqref="C2:C1001" showDropDown="0" showInputMessage="0" showErrorMessage="0" allowBlank="1" errorTitle="Invalid roadmap value" error="Choose a value from the canonical list." promptTitle="Roadmap template" prompt="Select a canonical value." type="list">
      <formula1>=LaneIds</formula1>
    </dataValidation>
    <dataValidation sqref="J2:J1001" showDropDown="0" showInputMessage="0" showErrorMessage="0" allowBlank="1" errorTitle="Invalid roadmap value" error="Choose a value from the canonical list." promptTitle="Roadmap template" prompt="Select a canonical value." type="list">
      <formula1>=Booleans</formula1>
    </dataValidation>
    <dataValidation sqref="L2:L1001" showDropDown="0" showInputMessage="0" showErrorMessage="0" allowBlank="1" errorTitle="Invalid roadmap value" error="Choose a value from the canonical list." promptTitle="Roadmap template" prompt="Select a canonical value." type="list">
      <formula1>=Statuses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0" customWidth="1" min="4" max="4"/>
    <col width="14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type</t>
        </is>
      </c>
      <c r="E1" s="1" t="inlineStr">
        <is>
          <t>impact</t>
        </is>
      </c>
      <c r="F1" s="1" t="inlineStr">
        <is>
          <t>rationale</t>
        </is>
      </c>
    </row>
    <row r="2">
      <c r="A2" s="2" t="inlineStr">
        <is>
          <t>dep-wallets</t>
        </is>
      </c>
      <c r="B2" s="2" t="inlineStr">
        <is>
          <t>task-wallets</t>
        </is>
      </c>
      <c r="C2" s="2" t="inlineStr">
        <is>
          <t>m-wallet-pilot</t>
        </is>
      </c>
      <c r="D2" s="2" t="inlineStr">
        <is>
          <t>blocks</t>
        </is>
      </c>
      <c r="E2" s="2" t="inlineStr">
        <is>
          <t>high</t>
        </is>
      </c>
      <c r="F2" s="2" t="inlineStr">
        <is>
          <t>Build must finish before pilot</t>
        </is>
      </c>
    </row>
  </sheetData>
  <autoFilter ref="A1:F1"/>
  <dataValidations count="2">
    <dataValidation sqref="D2:D1001" showDropDown="0" showInputMessage="0" showErrorMessage="0" allowBlank="1" errorTitle="Invalid roadmap value" error="Choose a value from the canonical list." promptTitle="Roadmap template" prompt="Select a canonical value." type="list">
      <formula1>=DependencyTypes</formula1>
    </dataValidation>
    <dataValidation sqref="E2:E1001" showDropDown="0" showInputMessage="0" showErrorMessage="0" allowBlank="1" errorTitle="Invalid roadmap value" error="Choose a value from the canonical list." promptTitle="Roadmap template" prompt="Select a canonical value." type="list">
      <formula1>=Impacts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60" customWidth="1" min="3" max="3"/>
    <col width="32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metric</t>
        </is>
      </c>
    </row>
    <row r="2">
      <c r="A2" s="2" t="inlineStr">
        <is>
          <t>outcome-fast-payments</t>
        </is>
      </c>
      <c r="B2" s="2" t="inlineStr">
        <is>
          <t>Faster successful payments</t>
        </is>
      </c>
      <c r="C2" s="2" t="inlineStr">
        <is>
          <t>Reduce checkout time</t>
        </is>
      </c>
      <c r="D2" s="2" t="inlineStr">
        <is>
          <t>Payment success rate</t>
        </is>
      </c>
    </row>
  </sheetData>
  <autoFilter ref="A1:D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6" t="inlineStr">
        <is>
          <t>Statuses</t>
        </is>
      </c>
      <c r="B1" s="6" t="inlineStr">
        <is>
          <t>DependencyTypes</t>
        </is>
      </c>
      <c r="C1" s="6" t="inlineStr">
        <is>
          <t>Impacts</t>
        </is>
      </c>
      <c r="D1" s="6" t="inlineStr">
        <is>
          <t>TimeScales</t>
        </is>
      </c>
      <c r="E1" s="6" t="inlineStr">
        <is>
          <t>Booleans</t>
        </is>
      </c>
      <c r="F1" s="6" t="inlineStr">
        <is>
          <t>ShiftStates</t>
        </is>
      </c>
    </row>
    <row r="2">
      <c r="A2" t="inlineStr">
        <is>
          <t>planned</t>
        </is>
      </c>
      <c r="B2" t="inlineStr">
        <is>
          <t>blocks</t>
        </is>
      </c>
      <c r="C2" t="inlineStr">
        <is>
          <t>low</t>
        </is>
      </c>
      <c r="D2" t="inlineStr">
        <is>
          <t>week</t>
        </is>
      </c>
      <c r="E2" t="inlineStr">
        <is>
          <t>TRUE</t>
        </is>
      </c>
      <c r="F2" t="inlineStr">
        <is>
          <t>initial</t>
        </is>
      </c>
    </row>
    <row r="3">
      <c r="A3" t="inlineStr">
        <is>
          <t>in_progress</t>
        </is>
      </c>
      <c r="B3" t="inlineStr">
        <is>
          <t>depends_on</t>
        </is>
      </c>
      <c r="C3" t="inlineStr">
        <is>
          <t>medium</t>
        </is>
      </c>
      <c r="D3" t="inlineStr">
        <is>
          <t>month</t>
        </is>
      </c>
      <c r="E3" t="inlineStr">
        <is>
          <t>FALSE</t>
        </is>
      </c>
      <c r="F3" t="inlineStr">
        <is>
          <t>unchanged</t>
        </is>
      </c>
    </row>
    <row r="4">
      <c r="A4" t="inlineStr">
        <is>
          <t>on_track</t>
        </is>
      </c>
      <c r="B4" t="inlineStr">
        <is>
          <t>influences</t>
        </is>
      </c>
      <c r="C4" t="inlineStr">
        <is>
          <t>high</t>
        </is>
      </c>
      <c r="D4" t="inlineStr">
        <is>
          <t>quarter</t>
        </is>
      </c>
      <c r="F4" t="inlineStr">
        <is>
          <t>delayed</t>
        </is>
      </c>
    </row>
    <row r="5">
      <c r="A5" t="inlineStr">
        <is>
          <t>at_risk</t>
        </is>
      </c>
      <c r="B5" t="inlineStr">
        <is>
          <t>relates_to</t>
        </is>
      </c>
      <c r="D5" t="inlineStr">
        <is>
          <t>date</t>
        </is>
      </c>
      <c r="F5" t="inlineStr">
        <is>
          <t>accelerated</t>
        </is>
      </c>
    </row>
    <row r="6">
      <c r="A6" t="inlineStr">
        <is>
          <t>blocked</t>
        </is>
      </c>
      <c r="D6" t="inlineStr">
        <is>
          <t>order</t>
        </is>
      </c>
    </row>
    <row r="7">
      <c r="A7" t="inlineStr">
        <is>
          <t>done</t>
        </is>
      </c>
    </row>
    <row r="8">
      <c r="A8" t="inlineStr">
        <is>
          <t>cancelled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7" t="inlineStr">
        <is>
          <t>Field</t>
        </is>
      </c>
      <c r="B1" s="7" t="inlineStr">
        <is>
          <t>Meaning</t>
        </is>
      </c>
    </row>
    <row r="2">
      <c r="A2" s="8" t="inlineStr">
        <is>
          <t>previous_planned_date</t>
        </is>
      </c>
      <c r="B2" s="8" t="inlineStr">
        <is>
          <t>Previous revision date for the same milestone_id.</t>
        </is>
      </c>
    </row>
    <row r="3">
      <c r="A3" s="8" t="inlineStr">
        <is>
          <t>shift_days</t>
        </is>
      </c>
      <c r="B3" s="8" t="inlineStr">
        <is>
          <t>Current planned_date minus previous_planned_date.</t>
        </is>
      </c>
    </row>
    <row r="4">
      <c r="A4" s="8" t="inlineStr">
        <is>
          <t>cumulative_shift_days</t>
        </is>
      </c>
      <c r="B4" s="8" t="inlineStr">
        <is>
          <t>Sum of sequential shifts from the first revision.</t>
        </is>
      </c>
    </row>
    <row r="5">
      <c r="A5" s="8" t="inlineStr">
        <is>
          <t>shift_state</t>
        </is>
      </c>
      <c r="B5" s="8" t="inlineStr">
        <is>
          <t>initial / unchanged / delayed / accelerated using Settings.shift_threshold_days.</t>
        </is>
      </c>
    </row>
    <row r="6">
      <c r="A6" s="8" t="inlineStr">
        <is>
          <t>Purpose</t>
        </is>
      </c>
      <c r="B6" s="8" t="inlineStr">
        <is>
          <t>Fill a working copy of this file. Never edit the bundled template inside the skill.</t>
        </is>
      </c>
    </row>
    <row r="7">
      <c r="A7" s="8" t="inlineStr">
        <is>
          <t>Required flow</t>
        </is>
      </c>
      <c r="B7" s="8" t="inlineStr">
        <is>
          <t>Copy template -&gt; fill/confirm -&gt; import to roadmap.v2 YAML -&gt; strict validate -&gt; generate Draw.io -&gt; source-aware validate.</t>
        </is>
      </c>
    </row>
    <row r="8">
      <c r="A8" s="8" t="inlineStr">
        <is>
          <t>Dates</t>
        </is>
      </c>
      <c r="B8" s="8" t="inlineStr">
        <is>
          <t>Use ISO dates YYYY-MM-DD. Excel date cells are accepted and normalized.</t>
        </is>
      </c>
    </row>
    <row r="9">
      <c r="A9" s="8" t="inlineStr">
        <is>
          <t>Milestone history</t>
        </is>
      </c>
      <c r="B9" s="8" t="inlineStr">
        <is>
          <t>One row per revision. Keep milestone_id stable, revision_id unique, revision_order strictly increasing, and exactly one is_current=TRUE.</t>
        </is>
      </c>
    </row>
    <row r="10">
      <c r="A10" s="8" t="inlineStr">
        <is>
          <t>Computed columns</t>
        </is>
      </c>
      <c r="B10" s="8" t="inlineStr">
        <is>
          <t>Do not edit the four yellow columns. The importer ignores cached/formula results and recalculates all shifts from planned_date/planned_order.</t>
        </is>
      </c>
    </row>
    <row r="11">
      <c r="A11" s="8" t="inlineStr">
        <is>
          <t>Lists</t>
        </is>
      </c>
      <c r="B11" s="8" t="inlineStr">
        <is>
          <t>Separate multiple milestone/outcome IDs with |. IDs must match ^[A-Za-z][A-Za-z0-9_-]*$.</t>
        </is>
      </c>
    </row>
    <row r="12">
      <c r="A12" s="8" t="inlineStr">
        <is>
          <t>Example</t>
        </is>
      </c>
      <c r="B12" s="8" t="inlineStr">
        <is>
          <t>The four Wallet pilot revisions show +15d, +14d, -7d and +22d cumulative.</t>
        </is>
      </c>
    </row>
    <row r="13">
      <c r="A13" s="8" t="inlineStr">
        <is>
          <t>Security</t>
        </is>
      </c>
      <c r="B13" s="8" t="inlineStr">
        <is>
          <t>Do not paste formulas or external links into input columns. This workbook contains no macros or external links.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drawio-skill</dc:creator>
  <dc:title xmlns:dc="http://purl.org/dc/elements/1.1/">Canonical roadmap v2 intake template</dc:title>
  <dc:description xmlns:dc="http://purl.org/dc/elements/1.1/">Macro-free, link-free roadmap input template with milestone revision history.</dc:description>
  <dcterms:created xmlns:dcterms="http://purl.org/dc/terms/" xmlns:xsi="http://www.w3.org/2001/XMLSchema-instance" xsi:type="dcterms:W3CDTF">2026-07-13T00:00:00Z</dcterms:created>
  <dcterms:modified xmlns:dcterms="http://purl.org/dc/terms/" xmlns:xsi="http://www.w3.org/2001/XMLSchema-instance" xsi:type="dcterms:W3CDTF">2026-07-13T14:26:49Z</dcterms:modified>
  <cp:lastModifiedBy>drawio-skill</cp:lastModifiedBy>
</cp:coreProperties>
</file>